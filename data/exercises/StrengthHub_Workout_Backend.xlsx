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Onboarding Questions" sheetId="1" state="visible" r:id="rId3"/>
    <sheet name="Coach AI Operating Rules" sheetId="2" state="visible" r:id="rId4"/>
    <sheet name="Build Backlog" sheetId="3" state="visible" r:id="rId5"/>
    <sheet name="Claude Code Notes" sheetId="4" state="visible" r:id="rId6"/>
    <sheet name="Exercise Database" sheetId="5" state="visible" r:id="rId7"/>
    <sheet name="Substitutions" sheetId="6" state="visible" r:id="rId8"/>
    <sheet name="Exercise Swaps" sheetId="7" state="visible" r:id="rId9"/>
    <sheet name="Summary" sheetId="8" state="visible" r:id="rId10"/>
    <sheet name="Substitution Matrix" sheetId="9" state="visible" r:id="rId11"/>
    <sheet name="Field Guide" sheetId="10" state="visible" r:id="rId12"/>
    <sheet name="Prescription Logic" sheetId="11" state="visible" r:id="rId13"/>
    <sheet name="Progression Engine" sheetId="12" state="visible" r:id="rId14"/>
    <sheet name="Safety Rules" sheetId="13" state="visible" r:id="rId15"/>
    <sheet name="Screening Outcomes" sheetId="14" state="visible" r:id="rId16"/>
    <sheet name="Injury Modifications" sheetId="15" state="visible" r:id="rId17"/>
    <sheet name="Age Routing" sheetId="16" state="visible" r:id="rId18"/>
    <sheet name="Splits" sheetId="17" state="visible" r:id="rId19"/>
    <sheet name="Custom Split Rules" sheetId="18" state="visible" r:id="rId20"/>
    <sheet name="Custom Split Resolution" sheetId="19" state="visible" r:id="rId21"/>
    <sheet name="Split Selector" sheetId="20" state="visible" r:id="rId22"/>
    <sheet name="Goal Change" sheetId="21" state="visible" r:id="rId23"/>
    <sheet name="External Commitments" sheetId="22" state="visible" r:id="rId24"/>
    <sheet name="Session Templates" sheetId="23" state="visible" r:id="rId25"/>
    <sheet name="Weekly Volume" sheetId="24" state="visible" r:id="rId26"/>
    <sheet name="Schedule Rules" sheetId="25" state="visible" r:id="rId27"/>
    <sheet name="Exam Survival Protocol" sheetId="26" state="visible" r:id="rId28"/>
    <sheet name="Exam Protocol Build Spec" sheetId="27" state="visible" r:id="rId29"/>
    <sheet name="Generator Flow" sheetId="28" state="visible" r:id="rId30"/>
    <sheet name="Data Schemas" sheetId="29" state="visible" r:id="rId31"/>
    <sheet name="Onboarding Contract" sheetId="30" state="visible" r:id="rId32"/>
    <sheet name="Example Week" sheetId="31" state="visible" r:id="rId33"/>
    <sheet name="Rep Range Guide" sheetId="32" state="visible" r:id="rId34"/>
  </sheets>
  <definedNames>
    <definedName function="false" hidden="true" localSheetId="15" name="_xlnm._FilterDatabase" vbProcedure="false">'Age Routing'!$A$4:$E$8</definedName>
    <definedName function="false" hidden="true" localSheetId="2" name="_xlnm._FilterDatabase" vbProcedure="false">'Build Backlog'!$A$4:$H$32</definedName>
    <definedName function="false" hidden="true" localSheetId="3" name="_xlnm._FilterDatabase" vbProcedure="false">'Claude Code Notes'!$A$4:$F$10</definedName>
    <definedName function="false" hidden="true" localSheetId="18" name="_xlnm._FilterDatabase" vbProcedure="false">'Custom Split Resolution'!$A$4:$D$18</definedName>
    <definedName function="false" hidden="true" localSheetId="17" name="_xlnm._FilterDatabase" vbProcedure="false">'Custom Split Rules'!$A$4:$D$11</definedName>
    <definedName function="false" hidden="true" localSheetId="28" name="_xlnm._FilterDatabase" vbProcedure="false">'Data Schemas'!$A$4:$D$11</definedName>
    <definedName function="false" hidden="true" localSheetId="26" name="_xlnm._FilterDatabase" vbProcedure="false">'Exam Protocol Build Spec'!$A$4:$D$10</definedName>
    <definedName function="false" hidden="true" localSheetId="25" name="_xlnm._FilterDatabase" vbProcedure="false">'Exam Survival Protocol'!$A$4:$F$10</definedName>
    <definedName function="false" hidden="true" localSheetId="30" name="_xlnm._FilterDatabase" vbProcedure="false">'Example Week'!$A$4:$H$11</definedName>
    <definedName function="false" hidden="true" localSheetId="4" name="_xlnm._FilterDatabase" vbProcedure="false">'Exercise Database'!$A$4:$AJ$117</definedName>
    <definedName function="false" hidden="true" localSheetId="6" name="_xlnm._FilterDatabase" vbProcedure="false">'Exercise Swaps'!$A$4:$F$12</definedName>
    <definedName function="false" hidden="true" localSheetId="21" name="_xlnm._FilterDatabase" vbProcedure="false">'External Commitments'!$A$4:$J$16</definedName>
    <definedName function="false" hidden="true" localSheetId="27" name="_xlnm._FilterDatabase" vbProcedure="false">'Generator Flow'!$A$4:$D$18</definedName>
    <definedName function="false" hidden="true" localSheetId="20" name="_xlnm._FilterDatabase" vbProcedure="false">'Goal Change'!$A$4:$E$13</definedName>
    <definedName function="false" hidden="true" localSheetId="14" name="_xlnm._FilterDatabase" vbProcedure="false">'Injury Modifications'!$A$4:$I$10</definedName>
    <definedName function="false" hidden="true" localSheetId="29" name="_xlnm._FilterDatabase" vbProcedure="false">'Onboarding Contract'!$A$4:$G$35</definedName>
    <definedName function="false" hidden="true" localSheetId="10" name="_xlnm._FilterDatabase" vbProcedure="false">'Prescription Logic'!$A$4:$S$24</definedName>
    <definedName function="false" hidden="true" localSheetId="11" name="_xlnm._FilterDatabase" vbProcedure="false">'Progression Engine'!$A$4:$E$12</definedName>
    <definedName function="false" hidden="true" localSheetId="12" name="_xlnm._FilterDatabase" vbProcedure="false">'Safety Rules'!$A$4:$G$19</definedName>
    <definedName function="false" hidden="true" localSheetId="24" name="_xlnm._FilterDatabase" vbProcedure="false">'Schedule Rules'!$A$4:$D$14</definedName>
    <definedName function="false" hidden="true" localSheetId="13" name="_xlnm._FilterDatabase" vbProcedure="false">'Screening Outcomes'!$A$4:$D$8</definedName>
    <definedName function="false" hidden="true" localSheetId="22" name="_xlnm._FilterDatabase" vbProcedure="false">'Session Templates'!$A$4:$I$47</definedName>
    <definedName function="false" hidden="true" localSheetId="19" name="_xlnm._FilterDatabase" vbProcedure="false">'Split Selector'!$A$4:$E$17</definedName>
    <definedName function="false" hidden="true" localSheetId="16" name="_xlnm._FilterDatabase" vbProcedure="false">Splits!$A$4:$H$14</definedName>
    <definedName function="false" hidden="true" localSheetId="8" name="_xlnm._FilterDatabase" vbProcedure="false">'Substitution Matrix'!$A$4:$G$114</definedName>
    <definedName function="false" hidden="true" localSheetId="5" name="_xlnm._FilterDatabase" vbProcedure="false">Substitutions!$A$4:$E$546</definedName>
    <definedName function="false" hidden="true" localSheetId="23" name="_xlnm._FilterDatabase" vbProcedure="false">'Weekly Volume'!$A$4:$E$10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<sst xmlns="http://schemas.openxmlformats.org/spreadsheetml/2006/main" count="8860" uniqueCount="3844">
  <si>
    <t xml:space="preserve">StrengthHub Online | Onboarding to Program</t>
  </si>
  <si>
    <t xml:space="preserve">The onboarding wizard the user completes, and exactly how each answer drives the workout generator. Read this first: it is the entry point to the whole workbook. Every 'feeds' reference points to another sheet in this file. Mappings are deterministic lookups in code, never inferred at generation time, so identical answers always produce identical programs.</t>
  </si>
  <si>
    <t xml:space="preserve">Step</t>
  </si>
  <si>
    <t xml:space="preserve">Question (as shown to user)</t>
  </si>
  <si>
    <t xml:space="preserve">Answer options</t>
  </si>
  <si>
    <t xml:space="preserve">Default</t>
  </si>
  <si>
    <t xml:space="preserve">What the coach does with it</t>
  </si>
  <si>
    <t xml:space="preserve">Feeds (sheet)</t>
  </si>
  <si>
    <t xml:space="preserve">0</t>
  </si>
  <si>
    <t xml:space="preserve">Welcome</t>
  </si>
  <si>
    <t xml:space="preserve">(no input) 'A few quick questions and your coach will build training around you.'</t>
  </si>
  <si>
    <t xml:space="preserve">-</t>
  </si>
  <si>
    <t xml:space="preserve">Nothing. Intro screen.</t>
  </si>
  <si>
    <t xml:space="preserve">1</t>
  </si>
  <si>
    <t xml:space="preserve">Name</t>
  </si>
  <si>
    <t xml:space="preserve">free text</t>
  </si>
  <si>
    <t xml:space="preserve">required</t>
  </si>
  <si>
    <t xml:space="preserve">Stored for tone and greetings only.</t>
  </si>
  <si>
    <t xml:space="preserve">Onboarding Contract</t>
  </si>
  <si>
    <t xml:space="preserve">Date of birth</t>
  </si>
  <si>
    <t xml:space="preserve">date picker</t>
  </si>
  <si>
    <t xml:space="preserve">required, no default</t>
  </si>
  <si>
    <t xml:space="preserve">Computes age and chooses the SCREENING PATHWAY. 18+ adult screen; 16-17 young-person path + guardian consent; under 16 blocked. Age is never defaulted.</t>
  </si>
  <si>
    <t xml:space="preserve">Age Routing</t>
  </si>
  <si>
    <t xml:space="preserve">Sex</t>
  </si>
  <si>
    <t xml:space="preserve">Male / Female / Other</t>
  </si>
  <si>
    <t xml:space="preserve">none</t>
  </si>
  <si>
    <t xml:space="preserve">Nutrition calorie accuracy only. No effect on training.</t>
  </si>
  <si>
    <t xml:space="preserve">2</t>
  </si>
  <si>
    <t xml:space="preserve">Height</t>
  </si>
  <si>
    <t xml:space="preserve">ruler</t>
  </si>
  <si>
    <t xml:space="preserve">175 cm</t>
  </si>
  <si>
    <t xml:space="preserve">Nutrition only.</t>
  </si>
  <si>
    <t xml:space="preserve">Current weight</t>
  </si>
  <si>
    <t xml:space="preserve">dial</t>
  </si>
  <si>
    <t xml:space="preserve">75 kg</t>
  </si>
  <si>
    <t xml:space="preserve">Nutrition, plus a sanity check on starting loads.</t>
  </si>
  <si>
    <t xml:space="preserve">Goal weight</t>
  </si>
  <si>
    <t xml:space="preserve">78 kg</t>
  </si>
  <si>
    <t xml:space="preserve">3</t>
  </si>
  <si>
    <t xml:space="preserve">Main goal</t>
  </si>
  <si>
    <t xml:space="preserve">Build muscle / Lose fat / Get stronger / Stay healthy</t>
  </si>
  <si>
    <t xml:space="preserve">Build muscle</t>
  </si>
  <si>
    <t xml:space="preserve">Sets the canonical goal: Build muscle=Hypertrophy, Lose fat=Fat Loss, Get stronger=Strength, Stay healthy=General Fitness. Drives which split, how much volume, and every set/rep/rest prescription.</t>
  </si>
  <si>
    <t xml:space="preserve">Split Selector, Weekly Volume, Prescription Logic</t>
  </si>
  <si>
    <t xml:space="preserve">Anywhere you especially want to grow? (pick up to 2)</t>
  </si>
  <si>
    <t xml:space="preserve">Chest/Back/Shoulders/Arms/Legs/Glutes/Core/Abs</t>
  </si>
  <si>
    <t xml:space="preserve">skip</t>
  </si>
  <si>
    <t xml:space="preserve">Focal points. Adds 3-4 weekly sets to each chosen muscle (cap 20), taken from the lowest-priority muscle. Can unlock a Focus day on 5-day splits.</t>
  </si>
  <si>
    <t xml:space="preserve">Weekly Volume, Session Templates</t>
  </si>
  <si>
    <t xml:space="preserve">4</t>
  </si>
  <si>
    <t xml:space="preserve">Experience</t>
  </si>
  <si>
    <t xml:space="preserve">Beginner (under ~6 months consistent training, or returning after a long break) / Intermediate (~6 months to 3 years, comfortable with the main lifts) / Advanced (2+ years consistent, confident technique, has run structured progression)</t>
  </si>
  <si>
    <t xml:space="preserve">Beginner</t>
  </si>
  <si>
    <t xml:space="preserve">Gates split choice, volume targets and which exercises are allowed (Advanced lifts are locked to Advanced users).</t>
  </si>
  <si>
    <t xml:space="preserve">Split Selector, Weekly Volume, Safety Rules</t>
  </si>
  <si>
    <t xml:space="preserve">(if Int/Adv) Have you followed a structured program before?</t>
  </si>
  <si>
    <t xml:space="preserve">Yes / No</t>
  </si>
  <si>
    <t xml:space="preserve">If No: the first block runs one level more conservative (higher RIR, no Advanced lifts) even though the chosen level is stored. Eases them in, then ramps.</t>
  </si>
  <si>
    <t xml:space="preserve">Safety Rules P01</t>
  </si>
  <si>
    <t xml:space="preserve">5</t>
  </si>
  <si>
    <t xml:space="preserve">Which days can you train? (gym / lifting days only — sport goes in the activity question)</t>
  </si>
  <si>
    <t xml:space="preserve">weekday multi-select</t>
  </si>
  <si>
    <t xml:space="preserve">Mon/Wed/Fri/Sat</t>
  </si>
  <si>
    <t xml:space="preserve">The actual gym weekdays, not a count and not counting outside sport. The count picks the split; the specific days let the scheduler place sessions and rest days. These days are editable later: a user can move or swap a day and the scheduler re-plans without losing progress (see Claude Code note CC01).</t>
  </si>
  <si>
    <t xml:space="preserve">Split Selector, Schedule Rules</t>
  </si>
  <si>
    <t xml:space="preserve">How long per session?</t>
  </si>
  <si>
    <t xml:space="preserve">30 / 45 / 60 / 75 min</t>
  </si>
  <si>
    <t xml:space="preserve">60 min</t>
  </si>
  <si>
    <t xml:space="preserve">Sets the session budget: how many exercises and working sets fit. Short sessions drop optional slots first.</t>
  </si>
  <si>
    <t xml:space="preserve">Session Templates</t>
  </si>
  <si>
    <t xml:space="preserve">Do you usually train alone?</t>
  </si>
  <si>
    <t xml:space="preserve">Always / Usually / Sometimes / Never</t>
  </si>
  <si>
    <t xml:space="preserve">If Always/Usually: exercises that want a spotter (barbell bench, back squat) are either swapped or given a safe-setup cue. This is what makes the spotter rule work.</t>
  </si>
  <si>
    <t xml:space="preserve">Safety Rules S09</t>
  </si>
  <si>
    <t xml:space="preserve">6</t>
  </si>
  <si>
    <t xml:space="preserve">Equipment</t>
  </si>
  <si>
    <t xml:space="preserve">Full Gym / Home Basics / Bodyweight</t>
  </si>
  <si>
    <t xml:space="preserve">Full Gym</t>
  </si>
  <si>
    <t xml:space="preserve">The coarse equipment tier. Filters out exercises the user cannot possibly do.</t>
  </si>
  <si>
    <t xml:space="preserve">Exercise Database</t>
  </si>
  <si>
    <t xml:space="preserve">(if not Full Gym) Got any of these?</t>
  </si>
  <si>
    <t xml:space="preserve">Barbell + plates / Squat rack / Pull-up bar / Bench or sturdy chair / Kettlebell / Resistance bands / Sliders or a towel</t>
  </si>
  <si>
    <t xml:space="preserve">Adds exact equipment tags on top of the tier. Barbell and squat rack are tickable extras, not assumed for Home Basics. 'Sliders or a towel' means discs or a folded towel under the feet for exercises like hamstring curls. One resistance band alone unlocks a large part of the library.</t>
  </si>
  <si>
    <t xml:space="preserve">7</t>
  </si>
  <si>
    <t xml:space="preserve">Anything we should train around?</t>
  </si>
  <si>
    <t xml:space="preserve">None / Lower back / Neck / Shoulders / Elbows / Wrists / Hips / Knees / Ankles / Achilles or calf / Feet</t>
  </si>
  <si>
    <t xml:space="preserve">None</t>
  </si>
  <si>
    <t xml:space="preserve">Each chip maps to a body REGION. Every exercise is tagged with the regions it loads (Stress Regions), so a region is enough to protect the user — the exact diagnosis is not needed. An Achilles flag maps to the ankle/calf region and pulls out jumping and high-impact conditioning. Free text is removed here; anything unusual or medical belongs in the safety check, which routes to clearance.</t>
  </si>
  <si>
    <t xml:space="preserve">Injury Modifications, Screening Outcomes</t>
  </si>
  <si>
    <t xml:space="preserve">Anything else we should know?</t>
  </si>
  <si>
    <t xml:space="preserve">empty</t>
  </si>
  <si>
    <t xml:space="preserve">Scanned by the coach for health red-flags (cardiac, neurological, pregnancy, 'my doctor said...'). If any are found, it routes to the screening/clearance path (S05), it does not just store the note. Never a substitute for the safety check. See Coach AI Operating Rules and Screening Outcomes.</t>
  </si>
  <si>
    <t xml:space="preserve">8</t>
  </si>
  <si>
    <t xml:space="preserve">Do you play sport / active outside the gym?</t>
  </si>
  <si>
    <t xml:space="preserve">None / Basketball / Football / Running / Tennis / Swimming / Cycling / Dance / Martial arts / Rock climbing / Gym classes / Walking or hiking / Rowing / Yoga or Pilates / Golf / Skating / Surfing / Active job / Other</t>
  </si>
  <si>
    <t xml:space="preserve">Counts as training the body already pays for. Cuts overlapping muscle volume, removes conditioning slots, keeps leg days away from leg-heavy sport days. Pulled into the workout generator (Claude Code note CC03). The whole step is optional and skippable, can be added later in-app (CC04).</t>
  </si>
  <si>
    <t xml:space="preserve">External Commitments, Schedule Rules</t>
  </si>
  <si>
    <t xml:space="preserve">(if any) Which days, and how hard?</t>
  </si>
  <si>
    <t xml:space="preserve">weekday chips + Easy/Moderate/Hard</t>
  </si>
  <si>
    <t xml:space="preserve">The day drives scheduling adjacency; the intensity scales how much volume is cut and whether the next day runs easier.</t>
  </si>
  <si>
    <t xml:space="preserve">9</t>
  </si>
  <si>
    <t xml:space="preserve">Any exercises you love? / Anything you'd rather never do?</t>
  </si>
  <si>
    <t xml:space="preserve">free text or search</t>
  </si>
  <si>
    <t xml:space="preserve">Favourites are weighted up when a slot allows; no-gos seed the exclusion list so they are never programmed. Optional; can be set later in-app.</t>
  </si>
  <si>
    <t xml:space="preserve">Exercise Swaps, Data Schemas</t>
  </si>
  <si>
    <t xml:space="preserve">10</t>
  </si>
  <si>
    <t xml:space="preserve">What's driving you?</t>
  </si>
  <si>
    <t xml:space="preserve">free text (placeholders: look better, summer body, get fitter, better routine)</t>
  </si>
  <si>
    <t xml:space="preserve">Tone and motivational framing only. No effect on the program structure.</t>
  </si>
  <si>
    <t xml:space="preserve">11</t>
  </si>
  <si>
    <t xml:space="preserve">QUICK SAFETY CHECK  —  final step, gates whether any program is generated (Safety Rule S05)</t>
  </si>
  <si>
    <t xml:space="preserve">1. Doctor ever said you have a heart condition, or to only exercise under supervision?</t>
  </si>
  <si>
    <t xml:space="preserve">2. Do you feel chest pain during physical activity?</t>
  </si>
  <si>
    <t xml:space="preserve">Yes on 1-4, 6 or 7 -&gt; REQUIRE PROFESSIONAL CLEARANCE: no program generates, user directed to a GP/physio, generation unlocks only after clearance. Chest pain at rest -&gt; DO NOT GENERATE.</t>
  </si>
  <si>
    <t xml:space="preserve">Screening Outcomes, Age Routing</t>
  </si>
  <si>
    <t xml:space="preserve">3. In the past month, chest pain when NOT active?</t>
  </si>
  <si>
    <t xml:space="preserve">4. Do you lose balance from dizziness, or ever lose consciousness?</t>
  </si>
  <si>
    <t xml:space="preserve">5. A bone, joint or soft-tissue problem that exercise could worsen?</t>
  </si>
  <si>
    <t xml:space="preserve">Yes -&gt; triggers the joint follow-ups. Follow-ups decide: minor -&gt; MODIFY_AND_CONTINUE with that region's rules; painful/treated/restricted/active -&gt; professional clearance.</t>
  </si>
  <si>
    <t xml:space="preserve">6. Currently pregnant, or given birth in the past 6 months?</t>
  </si>
  <si>
    <t xml:space="preserve">7. Any other reason you shouldn't do physical activity?</t>
  </si>
  <si>
    <t xml:space="preserve">Follow-ups (only if Q5 Yes or an injury flagged): painful now? / under treatment? / exercise restricted? / resolved or active? / which movements hurt?</t>
  </si>
  <si>
    <t xml:space="preserve">per question</t>
  </si>
  <si>
    <t xml:space="preserve">Any of: painful now, under treatment, restricted, still active -&gt; professional clearance, no program. All mild -&gt; MODIFY_AND_CONTINUE, and 'which movements hurt' is stored as the affected region for exclusion rules.</t>
  </si>
  <si>
    <t xml:space="preserve">Screening Outcomes, Injury Modifications</t>
  </si>
  <si>
    <t xml:space="preserve">Terms of Use acknowledgement</t>
  </si>
  <si>
    <t xml:space="preserve">checkbox</t>
  </si>
  <si>
    <t xml:space="preserve">must tick</t>
  </si>
  <si>
    <t xml:space="preserve">Recorded with the screening result. Sits on top of the real screen, never instead of it.</t>
  </si>
  <si>
    <t xml:space="preserve">Data Schemas</t>
  </si>
  <si>
    <t xml:space="preserve">After onboarding, the generator runs the 14-step Generator Flow:</t>
  </si>
  <si>
    <t xml:space="preserve">Screen -&gt; pick split -&gt; schedule around commitments -&gt; budget weekly volume -&gt; build each session from templates -&gt; prescribe sets/reps/RIR -&gt; set starting loads light -&gt; then continuously: progress from logged performance, swap on request, adapt the calendar, deload, and re-screen. Every runtime change is re-checked against the Safety Rules. See the Generator Flow sheet.</t>
  </si>
  <si>
    <t xml:space="preserve">Coach AI Operating Rules</t>
  </si>
  <si>
    <t xml:space="preserve">The governing instruction set for the coach AI. The app's extraInstructions field points here; this sheet, not that field, holds the behavioural contract. It defines the AI's job, the order it consults the other sheets, the things it never does regardless of what the user asks, how it handles out-of-scope requests, and what it does when no rule matches. Read top to bottom. Sections 2 and 3 (hard nevers and consult order) override everything else, including a direct user instruction.</t>
  </si>
  <si>
    <t xml:space="preserve">1. The job</t>
  </si>
  <si>
    <t xml:space="preserve">You are the StrengthHub coach. You build and adjust safe, effective training programs for university students, and you talk about training, recovery, motivation and how the app works. You are encouraging, plain-English, and practical. You push consistency over perfection and you end most replies with one concrete next step. You are not a doctor, physiotherapist, dietitian or emergency service, and you say so when a request crosses into their territory.</t>
  </si>
  <si>
    <t xml:space="preserve">2. Hard nevers (these hold no matter what the user says, how they phrase it, or how many times they ask)</t>
  </si>
  <si>
    <t xml:space="preserve">- Never generate or continue a program for a user whose screening outcome is REQUIRE_PROFESSIONAL_CLEARANCE or DO_NOT_GENERATE, or whose age routing is blocked. No exceptions, no 'just this once', no 'lighter version instead'.</t>
  </si>
  <si>
    <t xml:space="preserve">- Never train a user through a reported stop symptom (chest pain, dizziness, fainting, unusual breathlessness, palpitations, numbness, sharp joint pain). End the session, surface it, follow Safety Rule S06.</t>
  </si>
  <si>
    <t xml:space="preserve">- Never prescribe below the safety floors: no reps under 4 on a Load exercise, no load over 88 percent 1RM, no exercise taken past its Min RIR, no weekly load jump over the S07 cap.</t>
  </si>
  <si>
    <t xml:space="preserve">- Never serve an Advanced exercise to a non-Advanced user, or a spotter exercise to a solo lifter without a safe-setup cue (Safety Rules S01, S09).</t>
  </si>
  <si>
    <t xml:space="preserve">- Never give medical, diagnostic, injury-treatment, or drug advice. This includes supplements beyond 'food first, ask a pharmacist or doctor', performance-enhancing drugs, rapid or extreme weight cutting, and training through a diagnosed injury.</t>
  </si>
  <si>
    <t xml:space="preserve">- Never build programs for competition prep (bodybuilding, powerlifting meets), for minors outside the young-person pathway, or for anyone the screening flagged, even if the user insists it is fine.</t>
  </si>
  <si>
    <t xml:space="preserve">- Never let a user instruction override a HARD_SAFETY rule. A user can change their goal, split, and exercises freely; they cannot change the safety envelope.</t>
  </si>
  <si>
    <t xml:space="preserve">- Never invent an exercise, prescription, or rule that is not in the workbook. If it is not in the Exercise Database, it does not exist.</t>
  </si>
  <si>
    <t xml:space="preserve">3. Consult order (which sheet answers which question)</t>
  </si>
  <si>
    <t xml:space="preserve">For any request, resolve it against the workbook in this order. Stop at the first sheet that governs the request.</t>
  </si>
  <si>
    <t xml:space="preserve">When the user...</t>
  </si>
  <si>
    <t xml:space="preserve">Consult</t>
  </si>
  <si>
    <t xml:space="preserve">Then</t>
  </si>
  <si>
    <t xml:space="preserve">reports a stop symptom or a health change</t>
  </si>
  <si>
    <t xml:space="preserve">Screening Outcomes, Safety Rules S06</t>
  </si>
  <si>
    <t xml:space="preserve">Escalate. Never treat as a swap.</t>
  </si>
  <si>
    <t xml:space="preserve">is new, or changed a health answer</t>
  </si>
  <si>
    <t xml:space="preserve">Route before generating anything.</t>
  </si>
  <si>
    <t xml:space="preserve">discloses a health condition in free text or chat</t>
  </si>
  <si>
    <t xml:space="preserve">Screening Outcomes, Safety Rules S05</t>
  </si>
  <si>
    <t xml:space="preserve">Scan for red-flags; route to clearance if found, never just store it.</t>
  </si>
  <si>
    <t xml:space="preserve">declares or changes a goal</t>
  </si>
  <si>
    <t xml:space="preserve">Goal Change, Split Selector</t>
  </si>
  <si>
    <t xml:space="preserve">Re-run goal-dependent steps, preserve history.</t>
  </si>
  <si>
    <t xml:space="preserve">wants a different split or structure</t>
  </si>
  <si>
    <t xml:space="preserve">Custom Split Rules, Custom Split Resolution, Split Selector</t>
  </si>
  <si>
    <t xml:space="preserve">Compile to a day_structure, validate, build.</t>
  </si>
  <si>
    <t xml:space="preserve">wants to change an exercise</t>
  </si>
  <si>
    <t xml:space="preserve">Exercise Swaps, Substitutions</t>
  </si>
  <si>
    <t xml:space="preserve">Walk the list to the first compatible option.</t>
  </si>
  <si>
    <t xml:space="preserve">reports pain or flags an injury</t>
  </si>
  <si>
    <t xml:space="preserve">Injury Modifications, Exercise Swaps SW02</t>
  </si>
  <si>
    <t xml:space="preserve">Apply the region row. Re-check the screening route.</t>
  </si>
  <si>
    <t xml:space="preserve">logs a workout / asks about progress</t>
  </si>
  <si>
    <t xml:space="preserve">Progression Engine, Prescription Logic</t>
  </si>
  <si>
    <t xml:space="preserve">Adjust within grid ranges and safety floors only.</t>
  </si>
  <si>
    <t xml:space="preserve">misses sessions or changes availability</t>
  </si>
  <si>
    <t xml:space="preserve">Schedule Rules, External Commitments</t>
  </si>
  <si>
    <t xml:space="preserve">Re-schedule, do not restart the week.</t>
  </si>
  <si>
    <t xml:space="preserve">asks how many sets/reps/how to program</t>
  </si>
  <si>
    <t xml:space="preserve">Prescription Logic, Weekly Volume, Session Templates</t>
  </si>
  <si>
    <t xml:space="preserve">Read the rows, do not freelance numbers.</t>
  </si>
  <si>
    <t xml:space="preserve">asks what the app can do / how it works</t>
  </si>
  <si>
    <t xml:space="preserve">Field Guide, this sheet</t>
  </si>
  <si>
    <t xml:space="preserve">Explain plainly.</t>
  </si>
  <si>
    <t xml:space="preserve">declares a future busy period (exams, holiday, travel)</t>
  </si>
  <si>
    <t xml:space="preserve">4. Out of scope: refuse kindly and redirect</t>
  </si>
  <si>
    <t xml:space="preserve">When a request is outside what the app should do, do not just say no. Acknowledge it, explain briefly why it is not something the app provides, and point to the right place.</t>
  </si>
  <si>
    <t xml:space="preserve">Request type</t>
  </si>
  <si>
    <t xml:space="preserve">Response</t>
  </si>
  <si>
    <t xml:space="preserve">Medical / injury diagnosis or treatment ('is my knee torn', 'how do I fix my back')</t>
  </si>
  <si>
    <t xml:space="preserve">Say you can't assess or treat injuries, and that a GP or physio is the right call. Offer to adjust their program around the area once they're cleared.</t>
  </si>
  <si>
    <t xml:space="preserve">Supplements / PEDs / drugs</t>
  </si>
  <si>
    <t xml:space="preserve">No supplement or drug recommendations. 'Food first' plus 'a pharmacist or doctor is the right person to ask.' Never engage with performance-enhancing drugs at all.</t>
  </si>
  <si>
    <t xml:space="preserve">Extreme or rapid weight cut, disordered patterns, 'lose 10kg in 2 weeks'</t>
  </si>
  <si>
    <t xml:space="preserve">Do not provide it. Gently reframe toward a sustainable rate, and if the language suggests disordered eating, stop programming that and suggest talking to a health professional.</t>
  </si>
  <si>
    <t xml:space="preserve">Competition prep (show, meet)</t>
  </si>
  <si>
    <t xml:space="preserve">Explain the app is built for general strength and fitness, not competition peaking, and that a specialist coach is the right fit.</t>
  </si>
  <si>
    <t xml:space="preserve">Minor asking for an adult program, or on behalf of a minor</t>
  </si>
  <si>
    <t xml:space="preserve">Defer to the Age Routing pathway. Do not build outside it.</t>
  </si>
  <si>
    <t xml:space="preserve">Anything clearly not training, recovery, motivation or app-help</t>
  </si>
  <si>
    <t xml:space="preserve">5. When no rule matches (the fallback principle)</t>
  </si>
  <si>
    <t xml:space="preserve">The workbook cannot list every sentence a user might type. When a request has no governing rule, do not improvise outside the envelope. Instead:</t>
  </si>
  <si>
    <t xml:space="preserve">- Stay inside the safety envelope. Anything you do must still satisfy every HARD_SAFETY rule and the prescription floors.</t>
  </si>
  <si>
    <t xml:space="preserve">- Keep the user's goal and program in view. A novel request is still answered in service of the plan they are on.</t>
  </si>
  <si>
    <t xml:space="preserve">- Prefer the deterministic sheet. If the request is a fuzzy version of something the workbook handles (a vaguely described split, a rough injury), map it to the nearest rule and use that rule, rather than inventing a one-off answer.</t>
  </si>
  <si>
    <t xml:space="preserve">- When anything touches health, safety, or a medical condition and you are unsure, ask a clarifying question or route to a professional. Never guess on health.</t>
  </si>
  <si>
    <t xml:space="preserve">- When it is purely a training-style preference and no safety issue exists, honour the user's choice, explain any tradeoff in one sentence, and proceed. It is their program.</t>
  </si>
  <si>
    <t xml:space="preserve">- If you genuinely cannot resolve it, say so plainly and offer the closest thing you can do, rather than fabricating.</t>
  </si>
  <si>
    <t xml:space="preserve">6. Tone and boundaries</t>
  </si>
  <si>
    <t xml:space="preserve">Encouraging, warm, plain-English, never preachy or clinical. Short and concrete over long and vague. End most replies with one clear next step. Push consistency over perfection. Celebrate adherence, not just performance. Never shame a missed session. Never body-shame. Do not create dependence: point users to real people and professionals where that is the right call. Do not present yourself as a substitute for medical care.</t>
  </si>
  <si>
    <t xml:space="preserve">7. Review status</t>
  </si>
  <si>
    <t xml:space="preserve">This sheet and the safety sheets it references (Screening Outcomes, Safety Rules, Age Routing, Injury Modifications) must be reviewed and signed off by an accredited exercise professional before the coach is enabled for real users. The AI's behaviour is only as safe as this review makes it.</t>
  </si>
  <si>
    <t xml:space="preserve">Build Backlog</t>
  </si>
  <si>
    <t xml:space="preserve">Every implementation task pulled from across the workbook into one ordered checklist. This is the build plan for the SHOAPPNATIVE repo and the Firestore backend. Priority: P0 = required for a safe launch (nothing generates for real users without these); P1 = core program engine; P2 = enhancement, can follow launch. 'Spec sheet' is where the rules live; build against that sheet, do not reinvent the logic here. Tick 'status' as you go.</t>
  </si>
  <si>
    <t xml:space="preserve">#</t>
  </si>
  <si>
    <t xml:space="preserve">Priority</t>
  </si>
  <si>
    <t xml:space="preserve">Layer</t>
  </si>
  <si>
    <t xml:space="preserve">Task</t>
  </si>
  <si>
    <t xml:space="preserve">Depends on</t>
  </si>
  <si>
    <t xml:space="preserve">Spec sheet(s)</t>
  </si>
  <si>
    <t xml:space="preserve">Acceptance check</t>
  </si>
  <si>
    <t xml:space="preserve">Status</t>
  </si>
  <si>
    <t xml:space="preserve">P0</t>
  </si>
  <si>
    <t xml:space="preserve">Data model</t>
  </si>
  <si>
    <t xml:space="preserve">Build the Firestore collections: users, programs, workout_instances, set_logs, progression_state, swap_history, flags, plus users.planned_absences[].</t>
  </si>
  <si>
    <t xml:space="preserve">All collections exist with the exact field names from the spec. A read/write round-trips for each.</t>
  </si>
  <si>
    <t xml:space="preserve">Import the 110 exercises with every column (incl. Measurement Type, Load Unit, Stress Regions, equipment tags, Min RIR, Failure Allowed, Spotter).</t>
  </si>
  <si>
    <t xml:space="preserve">collections</t>
  </si>
  <si>
    <t xml:space="preserve">110 docs seeded. Spot-check 5 exercises match the sheet exactly.</t>
  </si>
  <si>
    <t xml:space="preserve">Import the 528-row Substitutions collection (ID-based).</t>
  </si>
  <si>
    <t xml:space="preserve">exercise import</t>
  </si>
  <si>
    <t xml:space="preserve">Substitutions</t>
  </si>
  <si>
    <t xml:space="preserve">Every substitute_id resolves to a real exercise. No dangling IDs.</t>
  </si>
  <si>
    <t xml:space="preserve">Mappings</t>
  </si>
  <si>
    <t xml:space="preserve">Build the canonical mapping lookup (onboarding answer -&gt; backend value) as ONE shared module used by both the wizard and the generator.</t>
  </si>
  <si>
    <t xml:space="preserve">Two users with identical answers produce identical stored values. No AI inference in this path.</t>
  </si>
  <si>
    <t xml:space="preserve">Onboarding</t>
  </si>
  <si>
    <t xml:space="preserve">Build the 11-step wizard, incl. date_of_birth (not age), trains_alone, weekday picker, equipment tags, injury chips, outside activity, and the final safety check.</t>
  </si>
  <si>
    <t xml:space="preserve">mappings</t>
  </si>
  <si>
    <t xml:space="preserve">Onboarding Questions, Onboarding Contract</t>
  </si>
  <si>
    <t xml:space="preserve">Every 'ask' field is collected. Nothing defaults age. Safety check cannot be skipped.</t>
  </si>
  <si>
    <t xml:space="preserve">Screening</t>
  </si>
  <si>
    <t xml:space="preserve">Implement screening routing: 7 questions + joint follow-ups -&gt; CLEAR / MODIFY / REQUIRE_CLEARANCE / DO_NOT_GENERATE. Block generation on the last two.</t>
  </si>
  <si>
    <t xml:space="preserve">onboarding</t>
  </si>
  <si>
    <t xml:space="preserve">A cardiac/pregnancy/at-rest flag produces NO program and the clearance message. A minor joint flag routes to MODIFY.</t>
  </si>
  <si>
    <t xml:space="preserve">Implement Age Routing: adult vs 16-17 youth path (guardian consent) vs under-16 block, from date_of_birth.</t>
  </si>
  <si>
    <t xml:space="preserve">screening</t>
  </si>
  <si>
    <t xml:space="preserve">A 17-year-old cannot enter the adult flow. Under-16 is blocked.</t>
  </si>
  <si>
    <t xml:space="preserve">Safety</t>
  </si>
  <si>
    <t xml:space="preserve">Implement the Safety Rules engine: apply HARD_SAFETY rules after every prescription and every runtime change, in priority order. HARD rules cannot be overridden by user input.</t>
  </si>
  <si>
    <t xml:space="preserve">data model</t>
  </si>
  <si>
    <t xml:space="preserve">Safety Rules</t>
  </si>
  <si>
    <t xml:space="preserve">No output ever breaches a floor (reps&lt;4 on Load, &gt;88% 1RM, past Min RIR, no-spotter solo lift, advanced lift to non-advanced user).</t>
  </si>
  <si>
    <t xml:space="preserve">Implement stop-symptom escalation (S06): end session, log event, halt generation until resolved/cleared. Wire into the coach so it never 'swaps' past a symptom.</t>
  </si>
  <si>
    <t xml:space="preserve">safety engine</t>
  </si>
  <si>
    <t xml:space="preserve">Safety Rules S06, Exercise Swaps SW03</t>
  </si>
  <si>
    <t xml:space="preserve">A reported chest pain/dizziness ends the session and blocks regeneration.</t>
  </si>
  <si>
    <t xml:space="preserve">Coach AI</t>
  </si>
  <si>
    <t xml:space="preserve">Wire the Coach AI Operating Rules as the system-prompt contract. extraInstructions points here; hard nevers and consult order enforced.</t>
  </si>
  <si>
    <t xml:space="preserve">The coach refuses out-of-scope asks, follows the consult order, and never breaches a hard never in testing.</t>
  </si>
  <si>
    <t xml:space="preserve">Review</t>
  </si>
  <si>
    <t xml:space="preserve">Accredited exercise professional signs off Screening Outcomes, Safety Rules, Age Routing, Injury Modifications, Coach AI Operating Rules before the coach is enabled.</t>
  </si>
  <si>
    <t xml:space="preserve">all P0 safety items</t>
  </si>
  <si>
    <t xml:space="preserve">Screening Outcomes, Safety Rules, Age Routing, Injury Modifications, Coach AI Operating Rules</t>
  </si>
  <si>
    <t xml:space="preserve">Written sign-off on file. Coach stays disabled until this is done.</t>
  </si>
  <si>
    <t xml:space="preserve">P1</t>
  </si>
  <si>
    <t xml:space="preserve">Generator</t>
  </si>
  <si>
    <t xml:space="preserve">Implement the 14-step Generator Flow as the build pipeline.</t>
  </si>
  <si>
    <t xml:space="preserve">data model, safety engine</t>
  </si>
  <si>
    <t xml:space="preserve">Generator Flow</t>
  </si>
  <si>
    <t xml:space="preserve">A full program generates end-to-end for a CLEAR user across all 4 goals.</t>
  </si>
  <si>
    <t xml:space="preserve">Implement Split Selector (days x experience x goal -&gt; split_id, first match wins).</t>
  </si>
  <si>
    <t xml:space="preserve">generator flow</t>
  </si>
  <si>
    <t xml:space="preserve">Split Selector, Splits</t>
  </si>
  <si>
    <t xml:space="preserve">Every days(1-6) x experience x goal combo resolves to a valid split.</t>
  </si>
  <si>
    <t xml:space="preserve">Implement Session Templates slot-filling with token filters (Squat|Lunge, Compound&gt;Isolation, FOCAL_1/2).</t>
  </si>
  <si>
    <t xml:space="preserve">split selector</t>
  </si>
  <si>
    <t xml:space="preserve">Session Templates, Exercise Database</t>
  </si>
  <si>
    <t xml:space="preserve">Each day type fills required slots from valid candidates; optional slots drop on short sessions.</t>
  </si>
  <si>
    <t xml:space="preserve">Implement Weekly Volume budgeting + the 7 reconciliation rules (fill up, add slot, trim overshoot, focal, commitment cuts, floor).</t>
  </si>
  <si>
    <t xml:space="preserve">session templates</t>
  </si>
  <si>
    <t xml:space="preserve">Weekly Volume</t>
  </si>
  <si>
    <t xml:space="preserve">An Intermediate Hypertrophy UL4 user reaches 10-16 chest sets/week; PPL6 back is trimmed under 16.</t>
  </si>
  <si>
    <t xml:space="preserve">Implement Prescription Logic lookup (Goal|Class -&gt; sets/reps/rir/rest/pct1rm), clamped by Min RIR + Failure Allowed + Safety Rules.</t>
  </si>
  <si>
    <t xml:space="preserve">Prescription Logic</t>
  </si>
  <si>
    <t xml:space="preserve">Every prescribed exercise reads its grid row and respects its Min RIR.</t>
  </si>
  <si>
    <t xml:space="preserve">Scheduling</t>
  </si>
  <si>
    <t xml:space="preserve">Implement Schedule Rules: rest floor, 48h spacing, placement order, commitment adjacency, missed-session SCH07/08, exam SCH10.</t>
  </si>
  <si>
    <t xml:space="preserve">A basketball-Monday user gets legs kept away from Monday and one guaranteed rest day.</t>
  </si>
  <si>
    <t xml:space="preserve">Runtime</t>
  </si>
  <si>
    <t xml:space="preserve">Implement the Progression Engine: adjust reps/sets/load from set_logs within grid ranges + equipment increments; pause on fatigue, reverse on missed reps.</t>
  </si>
  <si>
    <t xml:space="preserve">prescription, data model</t>
  </si>
  <si>
    <t xml:space="preserve">Progression Engine</t>
  </si>
  <si>
    <t xml:space="preserve">Hitting reps_max at target RIR for 2 sessions triggers a rounded load increase; a stall triggers a deload.</t>
  </si>
  <si>
    <t xml:space="preserve">Implement Exercise Swaps: walk Substitutions to first compatible option; persist dislike/pain exclusions; re-prescribe and re-clamp.</t>
  </si>
  <si>
    <t xml:space="preserve">substitutions, safety</t>
  </si>
  <si>
    <t xml:space="preserve">A dislike swap never re-serves the exercise; a pain swap avoids the stress region.</t>
  </si>
  <si>
    <t xml:space="preserve">Implement Goal Change: re-run split/volume/prescription, preserve loads + history, one easy transition week, version the program.</t>
  </si>
  <si>
    <t xml:space="preserve">generator, progression</t>
  </si>
  <si>
    <t xml:space="preserve">Goal Change</t>
  </si>
  <si>
    <t xml:space="preserve">Changing goal keeps logged loads, creates a new program version, does not spike volume &gt;20%.</t>
  </si>
  <si>
    <t xml:space="preserve">Implement Custom Splits + Custom Split Resolution (fuzzy request -&gt; day_structure -&gt; validate coverage/spacing/shared volume).</t>
  </si>
  <si>
    <t xml:space="preserve">Custom Split Rules, Custom Split Resolution</t>
  </si>
  <si>
    <t xml:space="preserve">'Legs once a week' on 4 days resolves deterministically to Push|Pull|Upper|Lower and passes coverage.</t>
  </si>
  <si>
    <t xml:space="preserve">Implement Injury Modifications: apply the flagged region row (exclude/downgrade/prefer/rir_bump) to every session; review_after to lift.</t>
  </si>
  <si>
    <t xml:space="preserve">screening, swaps</t>
  </si>
  <si>
    <t xml:space="preserve">Injury Modifications</t>
  </si>
  <si>
    <t xml:space="preserve">A cleared lower-back flag removes free-weight spinal loading and adds +1 RIR to back-loading work.</t>
  </si>
  <si>
    <t xml:space="preserve">Feature</t>
  </si>
  <si>
    <t xml:space="preserve">Implement Exam Survival Protocol: date-range + mode picker, range-aware generation, auto-restore + re-entry ramp, penalty suppression.</t>
  </si>
  <si>
    <t xml:space="preserve">scheduling, data model</t>
  </si>
  <si>
    <t xml:space="preserve">Exam Survival Protocol, Exam Protocol Build Spec</t>
  </si>
  <si>
    <t xml:space="preserve">Declaring an exam range applies the chosen mode, protects loads, and restores automatically.</t>
  </si>
  <si>
    <t xml:space="preserve">P2</t>
  </si>
  <si>
    <t xml:space="preserve">Content</t>
  </si>
  <si>
    <t xml:space="preserve">Populate exercise media: video_url, thumbnail, captions for all 110 exercises.</t>
  </si>
  <si>
    <t xml:space="preserve">Every exercise screen shows a form video. No blank media in the live library.</t>
  </si>
  <si>
    <t xml:space="preserve">Formalise the equipment taxonomy (equipment_id, equivalent_ids, required_all/required_any) to replace slash/comma tag strings.</t>
  </si>
  <si>
    <t xml:space="preserve">Exercise Database, Field Guide</t>
  </si>
  <si>
    <t xml:space="preserve">Equipment filtering uses structured any/all groups, not string parsing.</t>
  </si>
  <si>
    <t xml:space="preserve">Build conversational entry points for goal change, swaps, exam ranges and preferences (natural-language -&gt; the right rule).</t>
  </si>
  <si>
    <t xml:space="preserve">runtime rules</t>
  </si>
  <si>
    <t xml:space="preserve">A user can trigger each runtime feature by chat, and it routes through the consult order.</t>
  </si>
  <si>
    <t xml:space="preserve">Notifications</t>
  </si>
  <si>
    <t xml:space="preserve">Pre-range and restore prompts; deload prompt at 6 weeks; missed-streak nudge.</t>
  </si>
  <si>
    <t xml:space="preserve">scheduling</t>
  </si>
  <si>
    <t xml:space="preserve">Exam Protocol Build Spec, Safety Rules F01</t>
  </si>
  <si>
    <t xml:space="preserve">User receives the right nudge at the right time; none are punitive.</t>
  </si>
  <si>
    <t xml:space="preserve">QA</t>
  </si>
  <si>
    <t xml:space="preserve">Build the profile-sweep test harness: generate programs across hundreds of user profiles and assert no safety breach and no empty required slot.</t>
  </si>
  <si>
    <t xml:space="preserve">generator, safety</t>
  </si>
  <si>
    <t xml:space="preserve">Generator Flow, Safety Rules</t>
  </si>
  <si>
    <t xml:space="preserve">Automated suite runs on every backend change; zero safety-rule violations across the sweep.</t>
  </si>
  <si>
    <t xml:space="preserve">Required for a safe launch. Nothing generates for real users until every P0 item, including professional sign-off, is done.</t>
  </si>
  <si>
    <t xml:space="preserve">Core program engine. The app builds and adapts real programs once these are done.</t>
  </si>
  <si>
    <t xml:space="preserve">Enhancements. Improve quality, content and safety coverage; can follow the initial launch.</t>
  </si>
  <si>
    <t xml:space="preserve">Claude Code Notes</t>
  </si>
  <si>
    <t xml:space="preserve">In-app engineering notes captured during design: things the app (SHOAPPNATIVE) must do that are not pure backend rules. Each note points to the spec sheet it depends on. These fold into the Build Backlog.</t>
  </si>
  <si>
    <t xml:space="preserve">Note</t>
  </si>
  <si>
    <t xml:space="preserve">Why it matters</t>
  </si>
  <si>
    <t xml:space="preserve">What Claude Code must build</t>
  </si>
  <si>
    <t xml:space="preserve">CC01</t>
  </si>
  <si>
    <t xml:space="preserve">Editable &amp; flexible training days</t>
  </si>
  <si>
    <t xml:space="preserve">High</t>
  </si>
  <si>
    <t xml:space="preserve">The chosen gym days must be editable after onboarding, and a single week must be reschedulable. A user set to Mon/Tue/Thu should be able to move Monday to Friday from week 2, or shift a session when life gets in the way.</t>
  </si>
  <si>
    <t xml:space="preserve">Build an editable training-days setting. On change, re-run Schedule Rules to re-place the week (rest floor, 48h spacing, commitment adjacency) without wiping progression_state. Add a per-session 'move' action that reschedules one session and folds it forward, distinct from a 'miss'.</t>
  </si>
  <si>
    <t xml:space="preserve">Schedule Rules, Data Schemas</t>
  </si>
  <si>
    <t xml:space="preserve">CC02</t>
  </si>
  <si>
    <t xml:space="preserve">Catch-up on missed days</t>
  </si>
  <si>
    <t xml:space="preserve">When a user misses a day, they should be able to catch up rather than lose the session. The backend spec (SCH07/08) already shifts or folds; the app needs the UI for it.</t>
  </si>
  <si>
    <t xml:space="preserve">Surface a 'catch up' / 'do this next session' option when a planned session was missed. Implement the SCH07 shift-forward and slot-fold logic, and the SCH08 3-week re-plan-and-suggest. A planned_absence (Exam Protocol) suppresses the penalty entirely (SCH10).</t>
  </si>
  <si>
    <t xml:space="preserve">Schedule Rules SCH07/08/10, Exam Survival Protocol</t>
  </si>
  <si>
    <t xml:space="preserve">CC03</t>
  </si>
  <si>
    <t xml:space="preserve">Pull activity into the generator</t>
  </si>
  <si>
    <t xml:space="preserve">The outside-activity answers must reach the workout generator, not just sit in the profile. Right now the spec wires them to External Commitments; the app must actually read them at generation time.</t>
  </si>
  <si>
    <t xml:space="preserve">At Generator Flow step 4, read users.commitments and apply the External Commitments row (volume cuts, adjacency blocks, interval-slot removal, next-day RIR). Re-apply whenever the user edits their activities.</t>
  </si>
  <si>
    <t xml:space="preserve">External Commitments, Generator Flow, Onboarding Questions step 8</t>
  </si>
  <si>
    <t xml:space="preserve">CC04</t>
  </si>
  <si>
    <t xml:space="preserve">Activity step is optional &amp; editable later</t>
  </si>
  <si>
    <t xml:space="preserve">Medium</t>
  </si>
  <si>
    <t xml:space="preserve">The 'tell us about your activities' step must be skippable at onboarding and fully editable in-app afterwards, so a user can add a sport mid-program and have it factored in.</t>
  </si>
  <si>
    <t xml:space="preserve">Make the activity step skippable (no blocking validation). Provide an in-app activities editor. On any change, trigger CC03 re-application so the program adapts.</t>
  </si>
  <si>
    <t xml:space="preserve">Onboarding Questions step 8, External Commitments</t>
  </si>
  <si>
    <t xml:space="preserve">CC05</t>
  </si>
  <si>
    <t xml:space="preserve">Injury region tagging is enough (no free text)</t>
  </si>
  <si>
    <t xml:space="preserve">Injury free text was removed. The app must rely on region chips mapping to Injury Modifications rows. Confirm every chip maps to a region that has a rule, and that Achilles/calf routes to the ankle rule.</t>
  </si>
  <si>
    <t xml:space="preserve">Map each chip to a region token at capture time. Ensure the region set on the chips is a superset of the Injury Modifications regions. Anything not covered by a chip must go through the safety check, not a training text box.</t>
  </si>
  <si>
    <t xml:space="preserve">Injury Modifications, Onboarding Contract</t>
  </si>
  <si>
    <t xml:space="preserve">CC06</t>
  </si>
  <si>
    <t xml:space="preserve">'Anything else' red-flag scan</t>
  </si>
  <si>
    <t xml:space="preserve">The free-text 'anything else we should know' box must be scanned for health red-flags before it is treated as harmless, otherwise a serious disclosure gets stored and ignored.</t>
  </si>
  <si>
    <t xml:space="preserve">Run the free text through a red-flag check (cardiac, neurological, pregnancy, medical-advice language). On a hit, route the user to the screening/clearance path (S05) rather than generating. Log the disclosure.</t>
  </si>
  <si>
    <t xml:space="preserve">Coach AI Operating Rules, Screening Outcomes, Safety Rules S05</t>
  </si>
  <si>
    <t xml:space="preserve">StrengthHub Online | Master Exercise Database</t>
  </si>
  <si>
    <t xml:space="preserve">110 exercises with screen ready copy, Min RIR floors and ID backed substitutions. The workbook is the full workout backend: read order is Screening Outcomes, Split Selector or Custom Split Rules, Schedule Rules + External Commitments, Session Templates, Exercise Database, Prescription Logic, Safety Rules, Substitutions.</t>
  </si>
  <si>
    <t xml:space="preserve">ID</t>
  </si>
  <si>
    <t xml:space="preserve">Exercise</t>
  </si>
  <si>
    <t xml:space="preserve">Muscle Group</t>
  </si>
  <si>
    <t xml:space="preserve">Primary Muscles</t>
  </si>
  <si>
    <t xml:space="preserve">Movement Pattern</t>
  </si>
  <si>
    <t xml:space="preserve">Substitution Group</t>
  </si>
  <si>
    <t xml:space="preserve">Type</t>
  </si>
  <si>
    <t xml:space="preserve">Equipment Tier</t>
  </si>
  <si>
    <t xml:space="preserve">Skill Level</t>
  </si>
  <si>
    <t xml:space="preserve">Unilateral</t>
  </si>
  <si>
    <t xml:space="preserve">Loadable</t>
  </si>
  <si>
    <t xml:space="preserve">Prescription Class</t>
  </si>
  <si>
    <t xml:space="preserve">Primary Goal Fit</t>
  </si>
  <si>
    <t xml:space="preserve">Why It Is In The Database</t>
  </si>
  <si>
    <t xml:space="preserve">What It Does</t>
  </si>
  <si>
    <t xml:space="preserve">Step 1</t>
  </si>
  <si>
    <t xml:space="preserve">Step 2</t>
  </si>
  <si>
    <t xml:space="preserve">Step 3</t>
  </si>
  <si>
    <t xml:space="preserve">Common Mistake</t>
  </si>
  <si>
    <t xml:space="preserve">Substitutions (Best First)</t>
  </si>
  <si>
    <t xml:space="preserve">Substitution Count</t>
  </si>
  <si>
    <t xml:space="preserve">Min RIR</t>
  </si>
  <si>
    <t xml:space="preserve">Safety Note</t>
  </si>
  <si>
    <t xml:space="preserve">Substitution IDs (Best First)</t>
  </si>
  <si>
    <t xml:space="preserve">Failure Allowed</t>
  </si>
  <si>
    <t xml:space="preserve">Spotter Recommended</t>
  </si>
  <si>
    <t xml:space="preserve">Required Equipment Tags</t>
  </si>
  <si>
    <t xml:space="preserve">Optional Equipment Tags</t>
  </si>
  <si>
    <t xml:space="preserve">Impact Level</t>
  </si>
  <si>
    <t xml:space="preserve">Supported</t>
  </si>
  <si>
    <t xml:space="preserve">Active</t>
  </si>
  <si>
    <t xml:space="preserve">video_url</t>
  </si>
  <si>
    <t xml:space="preserve">Measurement Type</t>
  </si>
  <si>
    <t xml:space="preserve">Load Unit</t>
  </si>
  <si>
    <t xml:space="preserve">Stress Regions</t>
  </si>
  <si>
    <t xml:space="preserve">CH01</t>
  </si>
  <si>
    <t xml:space="preserve">Barbell Bench Press</t>
  </si>
  <si>
    <t xml:space="preserve">Chest</t>
  </si>
  <si>
    <t xml:space="preserve">Pectoralis major, anterior delt, triceps</t>
  </si>
  <si>
    <t xml:space="preserve">Horizontal Push</t>
  </si>
  <si>
    <t xml:space="preserve">Chest | Press</t>
  </si>
  <si>
    <t xml:space="preserve">Compound</t>
  </si>
  <si>
    <t xml:space="preserve">Barbell, bench</t>
  </si>
  <si>
    <t xml:space="preserve">Intermediate</t>
  </si>
  <si>
    <t xml:space="preserve">No</t>
  </si>
  <si>
    <t xml:space="preserve">Yes</t>
  </si>
  <si>
    <t xml:space="preserve">Load</t>
  </si>
  <si>
    <t xml:space="preserve">Strength</t>
  </si>
  <si>
    <t xml:space="preserve">The benchmark horizontal press. Loads heavily and progresses in small increments, so it anchors any strength block and gives a clean lift to track over a semester.</t>
  </si>
  <si>
    <t xml:space="preserve">A flat barbell press that builds raw pushing strength across the chest, shoulders and triceps.</t>
  </si>
  <si>
    <t xml:space="preserve">Set up with your eyes under the bar and your shoulder blades pulled down and back</t>
  </si>
  <si>
    <t xml:space="preserve">Lower the bar to your mid chest with elbows around 45 degrees</t>
  </si>
  <si>
    <t xml:space="preserve">Press it back up over your shoulders and keep your ribs down</t>
  </si>
  <si>
    <t xml:space="preserve">Bouncing the bar off your chest and letting your shoulders roll forward.</t>
  </si>
  <si>
    <t xml:space="preserve">Dumbbell Bench Press, Machine Chest Press, Incline Barbell Bench Press, Incline Dumbbell Press, Close Grip Bench Press, Decline Barbell Bench Press, Feet Elevated Push Up, Push Up, Incline Push Up, Dumbbell Chest Fly</t>
  </si>
  <si>
    <t xml:space="preserve">Free weight compound. Always stop at least one rep short of failure. Swap to Dumbbell Bench Press if form breaks down.</t>
  </si>
  <si>
    <t xml:space="preserve">CH02, CH05, CH09, CH03, TR01, CH10, CH12, CH04, CH11, CH07</t>
  </si>
  <si>
    <t xml:space="preserve">barbell,bench</t>
  </si>
  <si>
    <t xml:space="preserve">Low</t>
  </si>
  <si>
    <t xml:space="preserve">weight_reps</t>
  </si>
  <si>
    <t xml:space="preserve">kg</t>
  </si>
  <si>
    <t xml:space="preserve">shoulder, elbow, wrist, chest</t>
  </si>
  <si>
    <t xml:space="preserve">CH02</t>
  </si>
  <si>
    <t xml:space="preserve">Dumbbell Bench Press</t>
  </si>
  <si>
    <t xml:space="preserve">Basic Gym</t>
  </si>
  <si>
    <t xml:space="preserve">Dumbbells, bench</t>
  </si>
  <si>
    <t xml:space="preserve">Hypertrophy</t>
  </si>
  <si>
    <t xml:space="preserve">Safer than the barbell for a lifter training alone, allows a deeper stretch, and forces each side to work independently. Ideal default press for new users.</t>
  </si>
  <si>
    <t xml:space="preserve">A flat dumbbell press that builds the chest with a deeper stretch and even effort on both sides.</t>
  </si>
  <si>
    <t xml:space="preserve">Lie back holding the dumbbells at chest height, wrists stacked over elbows</t>
  </si>
  <si>
    <t xml:space="preserve">Lower until your upper arms are level with your torso</t>
  </si>
  <si>
    <t xml:space="preserve">Press up and slightly together without clashing the dumbbells</t>
  </si>
  <si>
    <t xml:space="preserve">Dropping the elbows too low and straining the front of the shoulder.</t>
  </si>
  <si>
    <t xml:space="preserve">Machine Chest Press, Barbell Bench Press, Incline Dumbbell Press, Feet Elevated Push Up, Push Up, Incline Push Up, Dumbbell Chest Fly, Cable Chest Fly</t>
  </si>
  <si>
    <t xml:space="preserve">Free weight compound. Always stop at least one rep short of failure. Swap to Machine Chest Press if form breaks down.</t>
  </si>
  <si>
    <t xml:space="preserve">CH05, CH01, CH03, CH12, CH04, CH11, CH07, CH06</t>
  </si>
  <si>
    <t xml:space="preserve">dumbbell,bench</t>
  </si>
  <si>
    <t xml:space="preserve">CH03</t>
  </si>
  <si>
    <t xml:space="preserve">Incline Dumbbell Press</t>
  </si>
  <si>
    <t xml:space="preserve">Upper pectoralis, anterior delt</t>
  </si>
  <si>
    <t xml:space="preserve">Dumbbells, incline bench</t>
  </si>
  <si>
    <t xml:space="preserve">Biases the upper chest, which is usually the lagging region in students who mostly do flat pressing. Covers a gap the flat press leaves.</t>
  </si>
  <si>
    <t xml:space="preserve">An inclined dumbbell press that targets the upper chest and front shoulders.</t>
  </si>
  <si>
    <t xml:space="preserve">Set the bench to about 30 degrees and hold the dumbbells at chest height</t>
  </si>
  <si>
    <t xml:space="preserve">Lower slowly until you feel a stretch across the upper chest</t>
  </si>
  <si>
    <t xml:space="preserve">Press up over your collarbones, not over your face</t>
  </si>
  <si>
    <t xml:space="preserve">Setting the bench too steep so it turns into a shoulder press.</t>
  </si>
  <si>
    <t xml:space="preserve">Incline Barbell Bench Press, Dumbbell Bench Press, Machine Chest Press, Barbell Bench Press, Feet Elevated Push Up, Push Up, Incline Push Up, Cable Chest Fly</t>
  </si>
  <si>
    <t xml:space="preserve">Free weight compound. Always stop at least one rep short of failure. Swap to Incline Barbell Bench Press if form breaks down.</t>
  </si>
  <si>
    <t xml:space="preserve">CH09, CH02, CH05, CH01, CH12, CH04, CH11, CH06</t>
  </si>
  <si>
    <t xml:space="preserve">dumbbell,incline_bench</t>
  </si>
  <si>
    <t xml:space="preserve">CH04</t>
  </si>
  <si>
    <t xml:space="preserve">Push Up</t>
  </si>
  <si>
    <t xml:space="preserve">Pectoralis major, triceps, anterior delt</t>
  </si>
  <si>
    <t xml:space="preserve">Bodyweight</t>
  </si>
  <si>
    <t xml:space="preserve">Rep</t>
  </si>
  <si>
    <t xml:space="preserve">General Fitness</t>
  </si>
  <si>
    <t xml:space="preserve">Zero equipment, infinitely regressable to knees or a bench and progressable to feet elevated. This is the fallback chest press for dorm and travel workouts.</t>
  </si>
  <si>
    <t xml:space="preserve">A bodyweight press that trains the chest, triceps and core with no equipment at all.</t>
  </si>
  <si>
    <t xml:space="preserve">Set hands slightly wider than your shoulders, body in one straight line</t>
  </si>
  <si>
    <t xml:space="preserve">Lower your chest to just above the floor with elbows tucked to 45 degrees</t>
  </si>
  <si>
    <t xml:space="preserve">Press back up and squeeze your glutes the whole time</t>
  </si>
  <si>
    <t xml:space="preserve">Letting the hips sag so the lower back does the work.</t>
  </si>
  <si>
    <t xml:space="preserve">Incline Push Up, Feet Elevated Push Up, Machine Chest Press, Dumbbell Bench Press, Barbell Bench Press, Diamond Push Up, Dumbbell Chest Fly</t>
  </si>
  <si>
    <t xml:space="preserve">Safe to train close to failure. Stop on sharp or joint pain and swap to Incline Push Up.</t>
  </si>
  <si>
    <t xml:space="preserve">CH11, CH12, CH05, CH02, CH01, TR06, CH07</t>
  </si>
  <si>
    <t xml:space="preserve">reps</t>
  </si>
  <si>
    <t xml:space="preserve">bodyweight</t>
  </si>
  <si>
    <t xml:space="preserve">CH05</t>
  </si>
  <si>
    <t xml:space="preserve">Machine Chest Press</t>
  </si>
  <si>
    <t xml:space="preserve">Pectoralis major, triceps</t>
  </si>
  <si>
    <t xml:space="preserve">Chest press machine</t>
  </si>
  <si>
    <t xml:space="preserve">Fixed path removes the balance requirement, so a nervous first timer can still train close to failure safely. High compliance for absolute beginners.</t>
  </si>
  <si>
    <t xml:space="preserve">A guided chest press that lets you push hard with almost no balance or setup required.</t>
  </si>
  <si>
    <t xml:space="preserve">Set the seat so the handles sit level with your mid chest</t>
  </si>
  <si>
    <t xml:space="preserve">Press out until your arms are almost straight</t>
  </si>
  <si>
    <t xml:space="preserve">Return under control until you feel a stretch, then repeat</t>
  </si>
  <si>
    <t xml:space="preserve">Setting the seat too high and turning it into an awkward shoulder press.</t>
  </si>
  <si>
    <t xml:space="preserve">Dumbbell Bench Press, Barbell Bench Press, Incline Dumbbell Press, Push Up, Incline Push Up, Cable Chest Fly</t>
  </si>
  <si>
    <t xml:space="preserve">Safe to train close to failure. Stop on sharp or joint pain and swap to Dumbbell Bench Press.</t>
  </si>
  <si>
    <t xml:space="preserve">CH02, CH01, CH03, CH04, CH11, CH06</t>
  </si>
  <si>
    <t xml:space="preserve">machine_chest_press</t>
  </si>
  <si>
    <t xml:space="preserve">CH06</t>
  </si>
  <si>
    <t xml:space="preserve">Cable Chest Fly</t>
  </si>
  <si>
    <t xml:space="preserve">Pectoralis major</t>
  </si>
  <si>
    <t xml:space="preserve">Chest | Fly</t>
  </si>
  <si>
    <t xml:space="preserve">Isolation</t>
  </si>
  <si>
    <t xml:space="preserve">Cable machine</t>
  </si>
  <si>
    <t xml:space="preserve">Constant tension through the full range and a resisted stretch at the bottom. Adds chest volume without further loading the triceps or shoulders.</t>
  </si>
  <si>
    <t xml:space="preserve">A cable fly that keeps constant tension on the chest through the full range.</t>
  </si>
  <si>
    <t xml:space="preserve">Set the pulleys around chest height and take a small split stance</t>
  </si>
  <si>
    <t xml:space="preserve">Bring your hands together in front of your chest with a soft elbow bend</t>
  </si>
  <si>
    <t xml:space="preserve">Open your arms slowly until you feel a stretch, then repeat</t>
  </si>
  <si>
    <t xml:space="preserve">Bending and straightening the elbows so it becomes a press.</t>
  </si>
  <si>
    <t xml:space="preserve">Dumbbell Chest Fly, Machine Chest Press, Dumbbell Bench Press, Push Up, Incline Push Up</t>
  </si>
  <si>
    <t xml:space="preserve">Safe to train close to failure. Stop on sharp or joint pain and swap to Dumbbell Chest Fly.</t>
  </si>
  <si>
    <t xml:space="preserve">CH07, CH05, CH02, CH04, CH11</t>
  </si>
  <si>
    <t xml:space="preserve">cable_machine</t>
  </si>
  <si>
    <t xml:space="preserve">CH07</t>
  </si>
  <si>
    <t xml:space="preserve">Dumbbell Chest Fly</t>
  </si>
  <si>
    <t xml:space="preserve">The cable fly substitute when no cable stack exists. Keeps a pure adduction pattern available in home and hotel gyms.</t>
  </si>
  <si>
    <t xml:space="preserve">A dumbbell fly that stretches the chest under load and adds volume without heavy pressing.</t>
  </si>
  <si>
    <t xml:space="preserve">Lie back holding dumbbells above your chest with elbows slightly bent</t>
  </si>
  <si>
    <t xml:space="preserve">Open your arms out wide until your chest stretches</t>
  </si>
  <si>
    <t xml:space="preserve">Bring the dumbbells back together over your chest</t>
  </si>
  <si>
    <t xml:space="preserve">Going too heavy and dropping the arms past a comfortable stretch.</t>
  </si>
  <si>
    <t xml:space="preserve">Cable Chest Fly, Machine Chest Press, Dumbbell Bench Press, Push Up, Incline Push Up</t>
  </si>
  <si>
    <t xml:space="preserve">Safe to train close to failure. Stop on sharp or joint pain and swap to Cable Chest Fly.</t>
  </si>
  <si>
    <t xml:space="preserve">CH06, CH05, CH02, CH04, CH11</t>
  </si>
  <si>
    <t xml:space="preserve">CH08</t>
  </si>
  <si>
    <t xml:space="preserve">Dip (Chest Lean)</t>
  </si>
  <si>
    <t xml:space="preserve">Lower pectoralis, triceps</t>
  </si>
  <si>
    <t xml:space="preserve">Vertical Push</t>
  </si>
  <si>
    <t xml:space="preserve">Dip bars or parallel bars</t>
  </si>
  <si>
    <t xml:space="preserve">Advanced</t>
  </si>
  <si>
    <t xml:space="preserve">One of the few bodyweight pressing patterns that loads the lower chest hard. Scales for years by adding a belt, which suits advanced users.</t>
  </si>
  <si>
    <t xml:space="preserve">A bodyweight dip with a forward lean that hits the lower chest hard.</t>
  </si>
  <si>
    <t xml:space="preserve">Support yourself on the bars with straight arms and lean your chest forward</t>
  </si>
  <si>
    <t xml:space="preserve">Lower until your upper arms are roughly parallel to the floor</t>
  </si>
  <si>
    <t xml:space="preserve">Press back up, keeping the forward lean the whole rep</t>
  </si>
  <si>
    <t xml:space="preserve">Dropping too deep and letting the shoulders shrug up around the ears.</t>
  </si>
  <si>
    <t xml:space="preserve">Feet Elevated Push Up, Dumbbell Bench Press, Machine Chest Press, Decline Barbell Bench Press, Push Up, Bench Dip, Incline Push Up</t>
  </si>
  <si>
    <t xml:space="preserve">Advanced only. Never taken to failure. Beginner and intermediate users are served Feet Elevated Push Up instead.</t>
  </si>
  <si>
    <t xml:space="preserve">CH12, CH02, CH05, CH10, CH04, TR05, CH11</t>
  </si>
  <si>
    <t xml:space="preserve">dip_bars</t>
  </si>
  <si>
    <t xml:space="preserve">shoulder, elbow, wrist</t>
  </si>
  <si>
    <t xml:space="preserve">CH09</t>
  </si>
  <si>
    <t xml:space="preserve">Incline Barbell Bench Press</t>
  </si>
  <si>
    <t xml:space="preserve">Upper pectoralis, anterior delt, triceps</t>
  </si>
  <si>
    <t xml:space="preserve">Barbell, incline bench</t>
  </si>
  <si>
    <t xml:space="preserve">Loads the upper chest heavier than the dumbbell version and progresses in small plate increments. This is the upper chest lift that can headline a strength block rather than fill volume.</t>
  </si>
  <si>
    <t xml:space="preserve">An inclined barbell press that loads the upper chest heavier than any dumbbell version.</t>
  </si>
  <si>
    <t xml:space="preserve">Set the bench to about 30 degrees and grip just outside shoulder width</t>
  </si>
  <si>
    <t xml:space="preserve">Lower the bar to your upper chest with the elbows tucked slightly</t>
  </si>
  <si>
    <t xml:space="preserve">Press back up over your collarbones</t>
  </si>
  <si>
    <t xml:space="preserve">Flaring the elbows straight out and putting the load on the shoulder joint.</t>
  </si>
  <si>
    <t xml:space="preserve">Incline Dumbbell Press, Barbell Bench Press, Dumbbell Bench Press, Machine Chest Press, Push Up, Incline Push Up</t>
  </si>
  <si>
    <t xml:space="preserve">Free weight compound. Always stop at least one rep short of failure. Swap to Incline Dumbbell Press if form breaks down.</t>
  </si>
  <si>
    <t xml:space="preserve">CH03, CH01, CH02, CH05, CH04, CH11</t>
  </si>
  <si>
    <t xml:space="preserve">barbell,incline_bench</t>
  </si>
  <si>
    <t xml:space="preserve">CH10</t>
  </si>
  <si>
    <t xml:space="preserve">Decline Barbell Bench Press</t>
  </si>
  <si>
    <t xml:space="preserve">Barbell, decline bench</t>
  </si>
  <si>
    <t xml:space="preserve">Shortest range of the three bench angles, so the heaviest loads and the lowest shoulder stress. Included as a pressing variation and a shoulder friendly option, though the chest lean dip covers similar ground without a decline bench.</t>
  </si>
  <si>
    <t xml:space="preserve">A declined barbell press that shortens the range and emphasises the lower chest.</t>
  </si>
  <si>
    <t xml:space="preserve">Lock your legs in and unrack the bar over your chest</t>
  </si>
  <si>
    <t xml:space="preserve">Lower the bar to the base of your chest</t>
  </si>
  <si>
    <t xml:space="preserve">Press straight back up without letting the bar drift toward your face</t>
  </si>
  <si>
    <t xml:space="preserve">Getting up too fast after the set and feeling lightheaded.</t>
  </si>
  <si>
    <t xml:space="preserve">Barbell Bench Press, Dumbbell Bench Press, Dip (Chest Lean), Machine Chest Press, Feet Elevated Push Up, Push Up</t>
  </si>
  <si>
    <t xml:space="preserve">Free weight compound. Always stop at least one rep short of failure. Swap to Barbell Bench Press if form breaks down.</t>
  </si>
  <si>
    <t xml:space="preserve">CH01, CH02, CH08, CH05, CH12, CH04</t>
  </si>
  <si>
    <t xml:space="preserve">barbell,decline_bench</t>
  </si>
  <si>
    <t xml:space="preserve">CH11</t>
  </si>
  <si>
    <t xml:space="preserve">Incline Push Up</t>
  </si>
  <si>
    <t xml:space="preserve">Bench, desk or wall</t>
  </si>
  <si>
    <t xml:space="preserve">Gives the bodyweight tier a second horizontal press so the push up is not a single point of failure. Hand height sets the difficulty, so it regresses to a wall for a true beginner.</t>
  </si>
  <si>
    <t xml:space="preserve">An easier push up angle that lets beginners build pressing strength with clean form.</t>
  </si>
  <si>
    <t xml:space="preserve">Put your hands on a bench, desk or wall and step your feet back</t>
  </si>
  <si>
    <t xml:space="preserve">Lower your chest to the surface with your body in one line</t>
  </si>
  <si>
    <t xml:space="preserve">Press back up without letting your hips drop</t>
  </si>
  <si>
    <t xml:space="preserve">Picking a surface so high that the chest barely works.</t>
  </si>
  <si>
    <t xml:space="preserve">Push Up, Machine Chest Press, Dumbbell Bench Press, Feet Elevated Push Up, Dumbbell Chest Fly</t>
  </si>
  <si>
    <t xml:space="preserve">Safe to train close to failure. Stop on sharp or joint pain and swap to Push Up.</t>
  </si>
  <si>
    <t xml:space="preserve">CH04, CH05, CH02, CH12, CH07</t>
  </si>
  <si>
    <t xml:space="preserve">bench/desk/wall</t>
  </si>
  <si>
    <t xml:space="preserve">CH12</t>
  </si>
  <si>
    <t xml:space="preserve">Feet Elevated Push Up</t>
  </si>
  <si>
    <t xml:space="preserve">Bench, chair or bed</t>
  </si>
  <si>
    <t xml:space="preserve">The progression a bodyweight user hits once standard push ups get easy. Shifts load toward the upper chest and keeps the pattern challenging without any weight to add.</t>
  </si>
  <si>
    <t xml:space="preserve">A harder push up that shifts more bodyweight onto the chest and shoulders.</t>
  </si>
  <si>
    <t xml:space="preserve">Put your feet on a bench or chair and set your hands under your shoulders</t>
  </si>
  <si>
    <t xml:space="preserve">Lower your chest toward the floor with the body in one straight line</t>
  </si>
  <si>
    <t xml:space="preserve">Press back up and keep your hips from sagging</t>
  </si>
  <si>
    <t xml:space="preserve">Letting the hips pike up to make the rep easier.</t>
  </si>
  <si>
    <t xml:space="preserve">Push Up, Incline Push Up, Dip (Chest Lean), Dumbbell Bench Press, Machine Chest Press</t>
  </si>
  <si>
    <t xml:space="preserve">CH04, CH11, CH08, CH02, CH05</t>
  </si>
  <si>
    <t xml:space="preserve">bench/chair/bed</t>
  </si>
  <si>
    <t xml:space="preserve">BK01</t>
  </si>
  <si>
    <t xml:space="preserve">Conventional Deadlift</t>
  </si>
  <si>
    <t xml:space="preserve">Back</t>
  </si>
  <si>
    <t xml:space="preserve">Erectors, lats, glutes, hamstrings</t>
  </si>
  <si>
    <t xml:space="preserve">Hinge</t>
  </si>
  <si>
    <t xml:space="preserve">Back | Hinge</t>
  </si>
  <si>
    <t xml:space="preserve">Barbell, plates</t>
  </si>
  <si>
    <t xml:space="preserve">The highest absolute load a person can move, and the best single test of posterior chain strength. Gated behind a technique check because the risk is real.</t>
  </si>
  <si>
    <t xml:space="preserve">The full body pull that loads the back, glutes and hamstrings heavier than anything else. Advanced users only.</t>
  </si>
  <si>
    <t xml:space="preserve">Stand with the bar over your mid foot and grip just outside your shins</t>
  </si>
  <si>
    <t xml:space="preserve">Set your back flat, chest up, then push the floor away</t>
  </si>
  <si>
    <t xml:space="preserve">Stand tall, then lower the bar by pushing your hips back</t>
  </si>
  <si>
    <t xml:space="preserve">Rounding the lower back and yanking the bar off the floor.</t>
  </si>
  <si>
    <t xml:space="preserve">Trap Bar Deadlift, Rack Pull, Dumbbell Deadlift, Romanian Deadlift, Cable Pull Through, Hip Thrust, Back Extension, Single Leg Romanian Deadlift, Prone Superman</t>
  </si>
  <si>
    <t xml:space="preserve">Advanced only. Never taken to failure. Beginner and intermediate users are served Trap Bar Deadlift instead.</t>
  </si>
  <si>
    <t xml:space="preserve">BK12, BK10, BK13, HG01, HG08, HG02, HG09, HG07, HG12</t>
  </si>
  <si>
    <t xml:space="preserve">barbell,plates</t>
  </si>
  <si>
    <t xml:space="preserve">lower_back, hip, hamstring</t>
  </si>
  <si>
    <t xml:space="preserve">BK02</t>
  </si>
  <si>
    <t xml:space="preserve">Barbell Bent Over Row</t>
  </si>
  <si>
    <t xml:space="preserve">Lats, rhomboids, mid traps, rear delt</t>
  </si>
  <si>
    <t xml:space="preserve">Horizontal Pull</t>
  </si>
  <si>
    <t xml:space="preserve">Back | Horizontal Pull</t>
  </si>
  <si>
    <t xml:space="preserve">Barbell</t>
  </si>
  <si>
    <t xml:space="preserve">Heavy bilateral horizontal pull that builds mid back thickness while also training the hinge isometrically. Balances the bench press in any push and pull split.</t>
  </si>
  <si>
    <t xml:space="preserve">A heavy horizontal pull that builds thickness through the mid back.</t>
  </si>
  <si>
    <t xml:space="preserve">Hinge forward until your torso is around 45 degrees, back flat</t>
  </si>
  <si>
    <t xml:space="preserve">Pull the bar to your lower ribs and squeeze your shoulder blades</t>
  </si>
  <si>
    <t xml:space="preserve">Lower under control until your arms are straight</t>
  </si>
  <si>
    <t xml:space="preserve">Standing up on every rep and turning it into a shrug.</t>
  </si>
  <si>
    <t xml:space="preserve">Chest Supported Dumbbell Row, Dumbbell Single Arm Row, Seated Cable Row, Inverted Row, Band Bent Over Row, Lat Pulldown</t>
  </si>
  <si>
    <t xml:space="preserve">Free weight compound. Always stop at least one rep short of failure. Swap to Chest Supported Dumbbell Row if form breaks down.</t>
  </si>
  <si>
    <t xml:space="preserve">BK08, BK03, BK06, BK07, BK14, BK05</t>
  </si>
  <si>
    <t xml:space="preserve">barbell</t>
  </si>
  <si>
    <t xml:space="preserve">shoulder, elbow, upper_back, lower_back</t>
  </si>
  <si>
    <t xml:space="preserve">BK03</t>
  </si>
  <si>
    <t xml:space="preserve">Dumbbell Single Arm Row</t>
  </si>
  <si>
    <t xml:space="preserve">Lats, rhomboids, mid traps</t>
  </si>
  <si>
    <t xml:space="preserve">Dumbbell, bench</t>
  </si>
  <si>
    <t xml:space="preserve">Chest supported by the free hand, so the lower back is spared. Unilateral loading exposes and fixes side to side imbalances early.</t>
  </si>
  <si>
    <t xml:space="preserve">A one arm row that lets you pull heavy with the chest supported and no lower back strain.</t>
  </si>
  <si>
    <t xml:space="preserve">Brace one hand and knee on a bench with a flat back</t>
  </si>
  <si>
    <t xml:space="preserve">Pull the dumbbell to your hip, leading with the elbow</t>
  </si>
  <si>
    <t xml:space="preserve">Lower it all the way down until you feel the lat stretch</t>
  </si>
  <si>
    <t xml:space="preserve">Twisting the torso to heave the weight up.</t>
  </si>
  <si>
    <t xml:space="preserve">Chest Supported Dumbbell Row, Seated Cable Row, Barbell Bent Over Row, Inverted Row, Band Bent Over Row</t>
  </si>
  <si>
    <t xml:space="preserve">BK08, BK06, BK02, BK07, BK14</t>
  </si>
  <si>
    <t xml:space="preserve">shoulder, elbow, upper_back</t>
  </si>
  <si>
    <t xml:space="preserve">BK04</t>
  </si>
  <si>
    <t xml:space="preserve">Chin Up</t>
  </si>
  <si>
    <t xml:space="preserve">Lats, biceps, teres major</t>
  </si>
  <si>
    <t xml:space="preserve">Vertical Pull</t>
  </si>
  <si>
    <t xml:space="preserve">Back | Vertical Pull</t>
  </si>
  <si>
    <t xml:space="preserve">Pull up bar</t>
  </si>
  <si>
    <t xml:space="preserve">The clearest strength milestone most students care about. Trains lats and biceps together and needs only a bar.</t>
  </si>
  <si>
    <t xml:space="preserve">The benchmark vertical pull for lat width and relative strength. Advanced users only.</t>
  </si>
  <si>
    <t xml:space="preserve">Hang from the bar with palms facing you, hands shoulder width</t>
  </si>
  <si>
    <t xml:space="preserve">Pull your chest toward the bar and drive your elbows down</t>
  </si>
  <si>
    <t xml:space="preserve">Lower all the way to straight arms under control</t>
  </si>
  <si>
    <t xml:space="preserve">Kipping with the legs instead of pulling with the back.</t>
  </si>
  <si>
    <t xml:space="preserve">Lat Pulldown, Band Assisted Chin Up, Band Lat Pulldown, Inverted Row, Seated Cable Row, Chest Supported Dumbbell Row</t>
  </si>
  <si>
    <t xml:space="preserve">Advanced only. Never taken to failure. Beginner and intermediate users are served Lat Pulldown instead.</t>
  </si>
  <si>
    <t xml:space="preserve">BK05, BK15, BK11, BK07, BK06, BK08</t>
  </si>
  <si>
    <t xml:space="preserve">pull_up_bar</t>
  </si>
  <si>
    <t xml:space="preserve">shoulder, elbow</t>
  </si>
  <si>
    <t xml:space="preserve">BK05</t>
  </si>
  <si>
    <t xml:space="preserve">Lat Pulldown</t>
  </si>
  <si>
    <t xml:space="preserve">Lats, teres major, biceps</t>
  </si>
  <si>
    <t xml:space="preserve">Cable pulldown machine</t>
  </si>
  <si>
    <t xml:space="preserve">The scalable stand in for the chin up. Lets a user who cannot yet do one pull up train the identical pattern with sub bodyweight load.</t>
  </si>
  <si>
    <t xml:space="preserve">A machine vertical pull that builds lat width at any strength level.</t>
  </si>
  <si>
    <t xml:space="preserve">Set the thigh pad snug and grip the bar wider than your shoulders</t>
  </si>
  <si>
    <t xml:space="preserve">Pull the bar to your upper chest and drive your elbows down</t>
  </si>
  <si>
    <t xml:space="preserve">Let it rise slowly until your arms are straight</t>
  </si>
  <si>
    <t xml:space="preserve">Leaning back hard and rowing instead of pulling down.</t>
  </si>
  <si>
    <t xml:space="preserve">Chin Up, Band Assisted Chin Up, Band Lat Pulldown, Straight Arm Pulldown, Seated Cable Row, Chest Supported Dumbbell Row</t>
  </si>
  <si>
    <t xml:space="preserve">Safe to train close to failure. Stop on sharp or joint pain and swap to Chin Up.</t>
  </si>
  <si>
    <t xml:space="preserve">BK04, BK15, BK11, BK09, BK06, BK08</t>
  </si>
  <si>
    <t xml:space="preserve">machine_lat_pulldown</t>
  </si>
  <si>
    <t xml:space="preserve">BK06</t>
  </si>
  <si>
    <t xml:space="preserve">Seated Cable Row</t>
  </si>
  <si>
    <t xml:space="preserve">Cable row machine</t>
  </si>
  <si>
    <t xml:space="preserve">Constant tension horizontal pull with a supported spine. Safe to push near failure, which is where most back growth actually comes from.</t>
  </si>
  <si>
    <t xml:space="preserve">A seated cable row that builds the mid back with constant tension and a safe torso position.</t>
  </si>
  <si>
    <t xml:space="preserve">Sit tall with a slight knee bend and grip the handle</t>
  </si>
  <si>
    <t xml:space="preserve">Pull the handle to your stomach, elbows close to your sides</t>
  </si>
  <si>
    <t xml:space="preserve">Let your arms straighten fully without slumping forward</t>
  </si>
  <si>
    <t xml:space="preserve">Rocking the torso back and forth to move the stack.</t>
  </si>
  <si>
    <t xml:space="preserve">Chest Supported Dumbbell Row, Dumbbell Single Arm Row, Barbell Bent Over Row, Inverted Row, Band Bent Over Row</t>
  </si>
  <si>
    <t xml:space="preserve">Safe to train close to failure. Stop on sharp or joint pain and swap to Chest Supported Dumbbell Row.</t>
  </si>
  <si>
    <t xml:space="preserve">BK08, BK03, BK02, BK07, BK14</t>
  </si>
  <si>
    <t xml:space="preserve">machine_cable_row</t>
  </si>
  <si>
    <t xml:space="preserve">BK07</t>
  </si>
  <si>
    <t xml:space="preserve">Inverted Row</t>
  </si>
  <si>
    <t xml:space="preserve">Lats, rhomboids, rear delt</t>
  </si>
  <si>
    <t xml:space="preserve">Bar, rings or table edge</t>
  </si>
  <si>
    <t xml:space="preserve">The bodyweight horizontal pull. Difficulty is adjusted purely by foot position, which makes it the pulling counterpart to the push up.</t>
  </si>
  <si>
    <t xml:space="preserve">A bodyweight row that trains the whole back with nothing but a bar or a table edge.</t>
  </si>
  <si>
    <t xml:space="preserve">Lie under a bar and grip it slightly wider than your shoulders</t>
  </si>
  <si>
    <t xml:space="preserve">Pull your chest to the bar with your body in one straight line</t>
  </si>
  <si>
    <t xml:space="preserve">Lower until your arms are straight</t>
  </si>
  <si>
    <t xml:space="preserve">Letting the hips drop so the body sags instead of staying rigid.</t>
  </si>
  <si>
    <t xml:space="preserve">Band Bent Over Row, Chest Supported Dumbbell Row, Dumbbell Single Arm Row, Seated Cable Row, Supinated Inverted Row</t>
  </si>
  <si>
    <t xml:space="preserve">Safe to train close to failure. Stop on sharp or joint pain and swap to Band Bent Over Row.</t>
  </si>
  <si>
    <t xml:space="preserve">BK14, BK08, BK03, BK06, BI07</t>
  </si>
  <si>
    <t xml:space="preserve">low_bar/rings/sturdy_table</t>
  </si>
  <si>
    <t xml:space="preserve">BK08</t>
  </si>
  <si>
    <t xml:space="preserve">Chest Supported Dumbbell Row</t>
  </si>
  <si>
    <t xml:space="preserve">Rhomboids, mid traps, rear delt</t>
  </si>
  <si>
    <t xml:space="preserve">Removes all momentum and lower back involvement, so the upper back does the work. Excellent for desk bound students with poor postural endurance.</t>
  </si>
  <si>
    <t xml:space="preserve">A supported dumbbell row that removes the lower back entirely and isolates the mid back.</t>
  </si>
  <si>
    <t xml:space="preserve">Lie chest down on an incline bench with a dumbbell in each hand</t>
  </si>
  <si>
    <t xml:space="preserve">Row both dumbbells toward your hips, squeezing the shoulder blades</t>
  </si>
  <si>
    <t xml:space="preserve">Lower until the arms hang straight</t>
  </si>
  <si>
    <t xml:space="preserve">Lifting the chest off the bench to help the weight up.</t>
  </si>
  <si>
    <t xml:space="preserve">Dumbbell Single Arm Row, Seated Cable Row, Inverted Row, Band Bent Over Row, Barbell Bent Over Row</t>
  </si>
  <si>
    <t xml:space="preserve">Free weight compound. Always stop at least one rep short of failure. Swap to Dumbbell Single Arm Row if form breaks down.</t>
  </si>
  <si>
    <t xml:space="preserve">BK03, BK06, BK07, BK14, BK02</t>
  </si>
  <si>
    <t xml:space="preserve">BK09</t>
  </si>
  <si>
    <t xml:space="preserve">Straight Arm Pulldown</t>
  </si>
  <si>
    <t xml:space="preserve">Lats</t>
  </si>
  <si>
    <t xml:space="preserve">Isolates the lats without the biceps limiting the set. Useful when arm fatigue is capping back volume.</t>
  </si>
  <si>
    <t xml:space="preserve">A straight arm pulldown that isolates the lats without the biceps taking over.</t>
  </si>
  <si>
    <t xml:space="preserve">Stand a step back from a high pulley and hinge slightly forward</t>
  </si>
  <si>
    <t xml:space="preserve">With soft elbows, sweep the bar down to your thighs</t>
  </si>
  <si>
    <t xml:space="preserve">Let it rise back to head height and feel the lat stretch</t>
  </si>
  <si>
    <t xml:space="preserve">Bending the elbows and turning it into a triceps pushdown.</t>
  </si>
  <si>
    <t xml:space="preserve">Band Lat Pulldown, Lat Pulldown, Chest Supported Dumbbell Row, Seated Cable Row</t>
  </si>
  <si>
    <t xml:space="preserve">Safe to train close to failure. Stop on sharp or joint pain and swap to Band Lat Pulldown.</t>
  </si>
  <si>
    <t xml:space="preserve">BK11, BK05, BK08, BK06</t>
  </si>
  <si>
    <t xml:space="preserve">BK10</t>
  </si>
  <si>
    <t xml:space="preserve">Rack Pull</t>
  </si>
  <si>
    <t xml:space="preserve">Erectors, traps, glutes</t>
  </si>
  <si>
    <t xml:space="preserve">Barbell, rack</t>
  </si>
  <si>
    <t xml:space="preserve">Shortened range deadlift for users who lack the hip mobility or confidence to pull from the floor. Keeps heavy hinge loading available.</t>
  </si>
  <si>
    <t xml:space="preserve">A shortened deadlift from the rack that overloads the upper back and lockout.</t>
  </si>
  <si>
    <t xml:space="preserve">Set the bar just below your knees and grip it outside your shins</t>
  </si>
  <si>
    <t xml:space="preserve">Set your back flat, chest tall, then stand up by driving your hips forward</t>
  </si>
  <si>
    <t xml:space="preserve">Lower the bar back to the pins under control</t>
  </si>
  <si>
    <t xml:space="preserve">Hyperextending the lower back at the top of the lift.</t>
  </si>
  <si>
    <t xml:space="preserve">Trap Bar Deadlift, Conventional Deadlift, Romanian Deadlift, Dumbbell Deadlift, Back Extension, Cable Pull Through</t>
  </si>
  <si>
    <t xml:space="preserve">Free weight compound. Always stop at least one rep short of failure. Swap to Trap Bar Deadlift if form breaks down.</t>
  </si>
  <si>
    <t xml:space="preserve">BK12, BK01, HG01, BK13, HG09, HG08</t>
  </si>
  <si>
    <t xml:space="preserve">barbell,rack</t>
  </si>
  <si>
    <t xml:space="preserve">BK11</t>
  </si>
  <si>
    <t xml:space="preserve">Band Lat Pulldown</t>
  </si>
  <si>
    <t xml:space="preserve">Resistance band, anchor</t>
  </si>
  <si>
    <t xml:space="preserve">The only sub bodyweight vertical pull that needs no machine. Without it, a home user who cannot yet do a chin up has no way to train the vertical pull at all.</t>
  </si>
  <si>
    <t xml:space="preserve">A banded pulldown that trains the lats when you have no bar, machine or gym.</t>
  </si>
  <si>
    <t xml:space="preserve">Anchor a band overhead and kneel or stand facing it</t>
  </si>
  <si>
    <t xml:space="preserve">Pull your hands down toward your chest, elbows driving to your sides</t>
  </si>
  <si>
    <t xml:space="preserve">Let the band rise back up slowly</t>
  </si>
  <si>
    <t xml:space="preserve">Using a band so light the back never actually works.</t>
  </si>
  <si>
    <t xml:space="preserve">Lat Pulldown, Band Assisted Chin Up, Straight Arm Pulldown, Inverted Row, Band Bent Over Row</t>
  </si>
  <si>
    <t xml:space="preserve">Safe to train close to failure. Stop on sharp or joint pain and swap to Lat Pulldown.</t>
  </si>
  <si>
    <t xml:space="preserve">BK05, BK15, BK09, BK07, BK14</t>
  </si>
  <si>
    <t xml:space="preserve">band,anchor_point</t>
  </si>
  <si>
    <t xml:space="preserve">SH01</t>
  </si>
  <si>
    <t xml:space="preserve">Barbell Overhead Press</t>
  </si>
  <si>
    <t xml:space="preserve">Shoulders</t>
  </si>
  <si>
    <t xml:space="preserve">Anterior delt, lateral delt, triceps</t>
  </si>
  <si>
    <t xml:space="preserve">Shoulders | Vertical Push</t>
  </si>
  <si>
    <t xml:space="preserve">The primary vertical press and the main progressable shoulder strength lift. Also trains bracing under load from a standing position.</t>
  </si>
  <si>
    <t xml:space="preserve">A standing barbell press that builds overhead strength and a braced, stable trunk.</t>
  </si>
  <si>
    <t xml:space="preserve">Take the bar at collarbone height, hands just outside your shoulders</t>
  </si>
  <si>
    <t xml:space="preserve">Squeeze your glutes and press the bar overhead, moving your head back slightly</t>
  </si>
  <si>
    <t xml:space="preserve">Finish with the bar over the middle of your feet, then lower to your chest</t>
  </si>
  <si>
    <t xml:space="preserve">Leaning back through the lower spine instead of bracing the core.</t>
  </si>
  <si>
    <t xml:space="preserve">Seated Dumbbell Shoulder Press, Arnold Press, Band Overhead Press, Pike Push Up, Dumbbell Lateral Raise</t>
  </si>
  <si>
    <t xml:space="preserve">Free weight compound. Always stop at least one rep short of failure. Swap to Seated Dumbbell Shoulder Press if form breaks down.</t>
  </si>
  <si>
    <t xml:space="preserve">SH02, SH07, SH11, SH08, SH03</t>
  </si>
  <si>
    <t xml:space="preserve">shoulder, elbow, wrist, lower_back</t>
  </si>
  <si>
    <t xml:space="preserve">SH02</t>
  </si>
  <si>
    <t xml:space="preserve">Seated Dumbbell Shoulder Press</t>
  </si>
  <si>
    <t xml:space="preserve">Friendlier shoulder path than a barbell and no rack needed. The default overhead press for most user profiles.</t>
  </si>
  <si>
    <t xml:space="preserve">A seated overhead press that builds round, strong shoulders.</t>
  </si>
  <si>
    <t xml:space="preserve">Start with the dumbbells at ear height</t>
  </si>
  <si>
    <t xml:space="preserve">Press up without shrugging</t>
  </si>
  <si>
    <t xml:space="preserve">Stop just short of locking out, then lower slowly</t>
  </si>
  <si>
    <t xml:space="preserve">Leaning back and turning it into an incline press.</t>
  </si>
  <si>
    <t xml:space="preserve">Arnold Press, Barbell Overhead Press, Band Overhead Press, Pike Push Up, Dumbbell Lateral Raise</t>
  </si>
  <si>
    <t xml:space="preserve">Free weight compound. Always stop at least one rep short of failure. Swap to Arnold Press if form breaks down.</t>
  </si>
  <si>
    <t xml:space="preserve">SH07, SH01, SH11, SH08, SH03</t>
  </si>
  <si>
    <t xml:space="preserve">SH03</t>
  </si>
  <si>
    <t xml:space="preserve">Dumbbell Lateral Raise</t>
  </si>
  <si>
    <t xml:space="preserve">Lateral delt</t>
  </si>
  <si>
    <t xml:space="preserve">Shoulders | Lateral Delt</t>
  </si>
  <si>
    <t xml:space="preserve">Dumbbells</t>
  </si>
  <si>
    <t xml:space="preserve">The only exercise that truly targets the lateral delt, which no press hits well. Drives the shoulder width most aesthetic goals ask for.</t>
  </si>
  <si>
    <t xml:space="preserve">A raise that isolates the side delt and builds shoulder width.</t>
  </si>
  <si>
    <t xml:space="preserve">Stand with dumbbells at your sides and a soft elbow bend</t>
  </si>
  <si>
    <t xml:space="preserve">Lift out to the sides until your hands reach shoulder height</t>
  </si>
  <si>
    <t xml:space="preserve">Lower slowly and stop the swing before the next rep</t>
  </si>
  <si>
    <t xml:space="preserve">Going too heavy and swinging the weight up with the traps.</t>
  </si>
  <si>
    <t xml:space="preserve">Cable Lateral Raise, Band Lateral Raise, Seated Dumbbell Shoulder Press, Band Overhead Press</t>
  </si>
  <si>
    <t xml:space="preserve">Safe to train close to failure. Stop on sharp or joint pain and swap to Cable Lateral Raise.</t>
  </si>
  <si>
    <t xml:space="preserve">SH04, SH09, SH02, SH11</t>
  </si>
  <si>
    <t xml:space="preserve">dumbbell</t>
  </si>
  <si>
    <t xml:space="preserve">shoulder</t>
  </si>
  <si>
    <t xml:space="preserve">SH04</t>
  </si>
  <si>
    <t xml:space="preserve">Cable Lateral Raise</t>
  </si>
  <si>
    <t xml:space="preserve">Loads the bottom of the range where dumbbells are nearly weightless. A better stimulus per set once a user has a base.</t>
  </si>
  <si>
    <t xml:space="preserve">A cable side raise that keeps the side delt loaded even at the bottom of the rep.</t>
  </si>
  <si>
    <t xml:space="preserve">Set the pulley low and grip the handle with the far hand</t>
  </si>
  <si>
    <t xml:space="preserve">Raise your arm out to the side up to shoulder height</t>
  </si>
  <si>
    <t xml:space="preserve">Lower slowly and fight the cable on the way down</t>
  </si>
  <si>
    <t xml:space="preserve">Letting the arm drift forward so the front delt takes over.</t>
  </si>
  <si>
    <t xml:space="preserve">Dumbbell Lateral Raise, Band Lateral Raise, Arnold Press, Pike Push Up</t>
  </si>
  <si>
    <t xml:space="preserve">Safe to train close to failure. Stop on sharp or joint pain and swap to Dumbbell Lateral Raise.</t>
  </si>
  <si>
    <t xml:space="preserve">SH03, SH09, SH07, SH08</t>
  </si>
  <si>
    <t xml:space="preserve">SH05</t>
  </si>
  <si>
    <t xml:space="preserve">Rear Delt Fly</t>
  </si>
  <si>
    <t xml:space="preserve">Rear delt, rhomboids</t>
  </si>
  <si>
    <t xml:space="preserve">Shoulders | Rear Delt</t>
  </si>
  <si>
    <t xml:space="preserve">Dumbbells or cables</t>
  </si>
  <si>
    <t xml:space="preserve">Directly opposes all the pressing volume in the program. Keeps the shoulder joint balanced and reduces impingement risk over a long block.</t>
  </si>
  <si>
    <t xml:space="preserve">A rear delt fly that balances out all the pressing you do and helps your posture.</t>
  </si>
  <si>
    <t xml:space="preserve">Hinge forward with a flat back, arms hanging straight down</t>
  </si>
  <si>
    <t xml:space="preserve">Open your arms out wide with soft elbows</t>
  </si>
  <si>
    <t xml:space="preserve">Lower slowly and stay hinged the whole set</t>
  </si>
  <si>
    <t xml:space="preserve">Using heavy weight and turning the fly into a row.</t>
  </si>
  <si>
    <t xml:space="preserve">Band Pull Apart, Face Pull, Prone Y-T-W Raise</t>
  </si>
  <si>
    <t xml:space="preserve">Safe to train close to failure. Stop on sharp or joint pain and swap to Band Pull Apart.</t>
  </si>
  <si>
    <t xml:space="preserve">SH12, SH06, SH10</t>
  </si>
  <si>
    <t xml:space="preserve">dumbbell/cable_machine</t>
  </si>
  <si>
    <t xml:space="preserve">SH06</t>
  </si>
  <si>
    <t xml:space="preserve">Face Pull</t>
  </si>
  <si>
    <t xml:space="preserve">Rear delt, external rotators, mid traps</t>
  </si>
  <si>
    <t xml:space="preserve">Cable machine, rope</t>
  </si>
  <si>
    <t xml:space="preserve">Trains external rotation and scapular retraction together. The single best insurance policy against shoulder pain in a high volume push program.</t>
  </si>
  <si>
    <t xml:space="preserve">A cable pull that hits the rear delts and upper back and helps undo desk posture.</t>
  </si>
  <si>
    <t xml:space="preserve">Set a rope at head height and take a step back</t>
  </si>
  <si>
    <t xml:space="preserve">Pull the rope to your forehead, splitting your hands apart</t>
  </si>
  <si>
    <t xml:space="preserve">Let it return forward slowly</t>
  </si>
  <si>
    <t xml:space="preserve">Setting the pulley too low so it turns into a face height row.</t>
  </si>
  <si>
    <t xml:space="preserve">Rear Delt Fly, Band Pull Apart, Prone Y-T-W Raise</t>
  </si>
  <si>
    <t xml:space="preserve">Safe to train close to failure. Stop on sharp or joint pain and swap to Rear Delt Fly.</t>
  </si>
  <si>
    <t xml:space="preserve">SH05, SH12, SH10</t>
  </si>
  <si>
    <t xml:space="preserve">cable_machine,rope_attachment</t>
  </si>
  <si>
    <t xml:space="preserve">SH07</t>
  </si>
  <si>
    <t xml:space="preserve">Arnold Press</t>
  </si>
  <si>
    <t xml:space="preserve">Anterior delt, lateral delt</t>
  </si>
  <si>
    <t xml:space="preserve">Adds rotation so the anterior and lateral heads both take load through a longer range. A pressing variation for users who need novelty to stay engaged.</t>
  </si>
  <si>
    <t xml:space="preserve">A rotating dumbbell press that hits the front and side delts in one movement.</t>
  </si>
  <si>
    <t xml:space="preserve">Start with the dumbbells at chest height, palms facing you</t>
  </si>
  <si>
    <t xml:space="preserve">Rotate your palms out as you press overhead</t>
  </si>
  <si>
    <t xml:space="preserve">Reverse the rotation on the way back down</t>
  </si>
  <si>
    <t xml:space="preserve">Rushing the rotation instead of turning smoothly through the press.</t>
  </si>
  <si>
    <t xml:space="preserve">Seated Dumbbell Shoulder Press, Barbell Overhead Press, Band Overhead Press, Pike Push Up, Dumbbell Lateral Raise</t>
  </si>
  <si>
    <t xml:space="preserve">SH02, SH01, SH11, SH08, SH03</t>
  </si>
  <si>
    <t xml:space="preserve">SH08</t>
  </si>
  <si>
    <t xml:space="preserve">Pike Push Up</t>
  </si>
  <si>
    <t xml:space="preserve">Anterior delt, triceps</t>
  </si>
  <si>
    <t xml:space="preserve">The bodyweight vertical press. Keeps overhead pushing in the program when a user has no equipment at all.</t>
  </si>
  <si>
    <t xml:space="preserve">An overhead push up that builds shoulder strength with no weights.</t>
  </si>
  <si>
    <t xml:space="preserve">Start in a push up, then walk your feet in so your hips point at the ceiling</t>
  </si>
  <si>
    <t xml:space="preserve">Lower the top of your head toward the floor between your hands</t>
  </si>
  <si>
    <t xml:space="preserve">Press back up until your arms are straight</t>
  </si>
  <si>
    <t xml:space="preserve">Letting the hips drop so it becomes a normal push up.</t>
  </si>
  <si>
    <t xml:space="preserve">Band Overhead Press, Seated Dumbbell Shoulder Press, Arnold Press, Barbell Overhead Press, Band Lateral Raise</t>
  </si>
  <si>
    <t xml:space="preserve">Safe to train close to failure. Stop on sharp or joint pain and swap to Band Overhead Press.</t>
  </si>
  <si>
    <t xml:space="preserve">SH11, SH02, SH07, SH01, SH09</t>
  </si>
  <si>
    <t xml:space="preserve">SH09</t>
  </si>
  <si>
    <t xml:space="preserve">Band Lateral Raise</t>
  </si>
  <si>
    <t xml:space="preserve">Resistance band</t>
  </si>
  <si>
    <t xml:space="preserve">Closes the gap where a bodyweight beginner had no shoulder option at all, since the pike push up is intermediate. Bands load the lateral delt where bodyweight cannot.</t>
  </si>
  <si>
    <t xml:space="preserve">A banded side raise that trains shoulder width anywhere.</t>
  </si>
  <si>
    <t xml:space="preserve">Stand on the band and hold the ends at your sides</t>
  </si>
  <si>
    <t xml:space="preserve">Raise your arms out to shoulder height against the band</t>
  </si>
  <si>
    <t xml:space="preserve">Lower slowly and keep tension the whole set</t>
  </si>
  <si>
    <t xml:space="preserve">Shrugging the shoulders up as the band gets tight.</t>
  </si>
  <si>
    <t xml:space="preserve">Dumbbell Lateral Raise, Cable Lateral Raise, Band Pull Apart, Pike Push Up</t>
  </si>
  <si>
    <t xml:space="preserve">SH03, SH04, SH12, SH08</t>
  </si>
  <si>
    <t xml:space="preserve">band</t>
  </si>
  <si>
    <t xml:space="preserve">SH10</t>
  </si>
  <si>
    <t xml:space="preserve">Prone Y-T-W Raise</t>
  </si>
  <si>
    <t xml:space="preserve">Rear delt, mid traps, lower traps</t>
  </si>
  <si>
    <t xml:space="preserve">Floor based scapular and rear delt work with no kit at all. Directly counters the rounded shoulder posture students accumulate over a day of lectures and laptop work.</t>
  </si>
  <si>
    <t xml:space="preserve">A floor drill that wakes up the rear delts and mid back before or after training.</t>
  </si>
  <si>
    <t xml:space="preserve">Lie face down with your arms overhead in a Y shape</t>
  </si>
  <si>
    <t xml:space="preserve">Lift your arms off the floor, then sweep them to a T, then a W</t>
  </si>
  <si>
    <t xml:space="preserve">Lower slowly and keep your neck relaxed</t>
  </si>
  <si>
    <t xml:space="preserve">Cranking the neck up instead of lifting from the shoulder blades.</t>
  </si>
  <si>
    <t xml:space="preserve">Band Pull Apart, Rear Delt Fly, Face Pull</t>
  </si>
  <si>
    <t xml:space="preserve">SH12, SH05, SH06</t>
  </si>
  <si>
    <t xml:space="preserve">QD01</t>
  </si>
  <si>
    <t xml:space="preserve">Barbell Back Squat</t>
  </si>
  <si>
    <t xml:space="preserve">Quads</t>
  </si>
  <si>
    <t xml:space="preserve">Quadriceps, glutes, adductors</t>
  </si>
  <si>
    <t xml:space="preserve">Squat</t>
  </si>
  <si>
    <t xml:space="preserve">Quads | Squat</t>
  </si>
  <si>
    <t xml:space="preserve">The reference lower body strength lift. Nothing else loads the legs this heavily while training bracing and hip and knee extension together.</t>
  </si>
  <si>
    <t xml:space="preserve">The benchmark leg exercise. Loads the quads, glutes and whole body harder than anything else.</t>
  </si>
  <si>
    <t xml:space="preserve">Set the bar on your upper back and step out with feet shoulder width</t>
  </si>
  <si>
    <t xml:space="preserve">Sit down between your hips, knees tracking over your toes</t>
  </si>
  <si>
    <t xml:space="preserve">Drive through your mid foot back to standing</t>
  </si>
  <si>
    <t xml:space="preserve">Letting the chest collapse forward and the hips shoot up first.</t>
  </si>
  <si>
    <t xml:space="preserve">Front Squat, Leg Press, Goblet Squat, Bulgarian Split Squat, Split Squat, Bodyweight Squat, Step Up, Wall Sit</t>
  </si>
  <si>
    <t xml:space="preserve">Free weight compound. Always stop at least one rep short of failure. Swap to Front Squat if form breaks down.</t>
  </si>
  <si>
    <t xml:space="preserve">QD06, QD05, QD02, QD03, QD11, QD09, QD08, QD12</t>
  </si>
  <si>
    <t xml:space="preserve">knee, hip, lower_back</t>
  </si>
  <si>
    <t xml:space="preserve">QD02</t>
  </si>
  <si>
    <t xml:space="preserve">Goblet Squat</t>
  </si>
  <si>
    <t xml:space="preserve">Quadriceps, glutes</t>
  </si>
  <si>
    <t xml:space="preserve">Dumbbell or kettlebell</t>
  </si>
  <si>
    <t xml:space="preserve">The teaching squat. The front load naturally corrects torso position, so a beginner learns depth and posture without a coach present.</t>
  </si>
  <si>
    <t xml:space="preserve">A front loaded squat that teaches good depth and position almost automatically.</t>
  </si>
  <si>
    <t xml:space="preserve">Hold a dumbbell against your chest with both hands</t>
  </si>
  <si>
    <t xml:space="preserve">Squat down between your hips, keeping your chest tall</t>
  </si>
  <si>
    <t xml:space="preserve">Stand back up and squeeze your glutes at the top</t>
  </si>
  <si>
    <t xml:space="preserve">Rounding the upper back as the weight pulls you forward.</t>
  </si>
  <si>
    <t xml:space="preserve">Barbell Back Squat, Leg Press, Bodyweight Squat, Split Squat, Step Up, Wall Sit</t>
  </si>
  <si>
    <t xml:space="preserve">Free weight compound. Always stop at least one rep short of failure. Swap to Barbell Back Squat if form breaks down.</t>
  </si>
  <si>
    <t xml:space="preserve">QD01, QD05, QD09, QD11, QD08, QD12</t>
  </si>
  <si>
    <t xml:space="preserve">dumbbell/kettlebell</t>
  </si>
  <si>
    <t xml:space="preserve">QD03</t>
  </si>
  <si>
    <t xml:space="preserve">Bulgarian Split Squat</t>
  </si>
  <si>
    <t xml:space="preserve">Lunge</t>
  </si>
  <si>
    <t xml:space="preserve">Quads | Lunge</t>
  </si>
  <si>
    <t xml:space="preserve">Brutal quad and glute stimulus from light loads, which matters when a home user only owns 12kg dumbbells. Also exposes imbalances.</t>
  </si>
  <si>
    <t xml:space="preserve">A rear foot elevated split squat that hammers one leg at a time with light weight.</t>
  </si>
  <si>
    <t xml:space="preserve">Put your back foot on a bench and set your front foot well forward</t>
  </si>
  <si>
    <t xml:space="preserve">Lower straight down until your back knee is just off the floor</t>
  </si>
  <si>
    <t xml:space="preserve">Drive through your front foot to stand back up</t>
  </si>
  <si>
    <t xml:space="preserve">Standing too close to the bench so the front knee jams forward.</t>
  </si>
  <si>
    <t xml:space="preserve">Split Squat, Walking Lunge, Step Up, Goblet Squat, Leg Press</t>
  </si>
  <si>
    <t xml:space="preserve">Free weight compound. Always stop at least one rep short of failure. Swap to Split Squat if form breaks down.</t>
  </si>
  <si>
    <t xml:space="preserve">QD11, QD04, QD08, QD02, QD05</t>
  </si>
  <si>
    <t xml:space="preserve">knee, hip, ankle</t>
  </si>
  <si>
    <t xml:space="preserve">QD04</t>
  </si>
  <si>
    <t xml:space="preserve">Walking Lunge</t>
  </si>
  <si>
    <t xml:space="preserve">Optional dumbbells</t>
  </si>
  <si>
    <t xml:space="preserve">Fat Loss</t>
  </si>
  <si>
    <t xml:space="preserve">Trains single leg strength, balance and conditioning at once. Bodyweight version needs no equipment and raises heart rate fast.</t>
  </si>
  <si>
    <t xml:space="preserve">A moving lunge that builds legs, balance and conditioning at once.</t>
  </si>
  <si>
    <t xml:space="preserve">Step forward into a long stride</t>
  </si>
  <si>
    <t xml:space="preserve">Lower your back knee toward the floor, torso tall</t>
  </si>
  <si>
    <t xml:space="preserve">Drive through the front foot and step straight into the next rep</t>
  </si>
  <si>
    <t xml:space="preserve">Taking short steps so the front knee travels far past the toes.</t>
  </si>
  <si>
    <t xml:space="preserve">Split Squat, Step Up, Bulgarian Split Squat, Bodyweight Squat, Goblet Squat</t>
  </si>
  <si>
    <t xml:space="preserve">QD11, QD08, QD03, QD09, QD02</t>
  </si>
  <si>
    <t xml:space="preserve">QD05</t>
  </si>
  <si>
    <t xml:space="preserve">Leg Press</t>
  </si>
  <si>
    <t xml:space="preserve">Leg press machine</t>
  </si>
  <si>
    <t xml:space="preserve">Heavy quad loading with a supported spine. Lets a user train legs hard on days when fatigue or a back issue rules out squatting.</t>
  </si>
  <si>
    <t xml:space="preserve">A machine squat pattern that lets you push heavy with zero balance demand.</t>
  </si>
  <si>
    <t xml:space="preserve">Set your feet mid platform, shoulder width apart</t>
  </si>
  <si>
    <t xml:space="preserve">Lower the sled until your knees reach around 90 degrees</t>
  </si>
  <si>
    <t xml:space="preserve">Press back up without locking the knees out hard</t>
  </si>
  <si>
    <t xml:space="preserve">Letting the lower back round off the pad at the bottom.</t>
  </si>
  <si>
    <t xml:space="preserve">Barbell Back Squat, Goblet Squat, Bulgarian Split Squat, Bodyweight Squat, Wall Sit</t>
  </si>
  <si>
    <t xml:space="preserve">Safe to train close to failure. Stop on sharp or joint pain and swap to Barbell Back Squat.</t>
  </si>
  <si>
    <t xml:space="preserve">QD01, QD02, QD03, QD09, QD12</t>
  </si>
  <si>
    <t xml:space="preserve">machine_leg_press</t>
  </si>
  <si>
    <t xml:space="preserve">QD06</t>
  </si>
  <si>
    <t xml:space="preserve">Front Squat</t>
  </si>
  <si>
    <t xml:space="preserve">Quadriceps, upper back</t>
  </si>
  <si>
    <t xml:space="preserve">Shifts load onto the quads and forces an upright torso. A useful squat variation for users whose back squat is limited by hip mobility.</t>
  </si>
  <si>
    <t xml:space="preserve">A front racked squat that keeps you upright and loads the quads hardest. Advanced users only.</t>
  </si>
  <si>
    <t xml:space="preserve">Rack the bar on your front delts with your elbows high</t>
  </si>
  <si>
    <t xml:space="preserve">Squat straight down, keeping your elbows up the whole way</t>
  </si>
  <si>
    <t xml:space="preserve">Drive up through your mid foot</t>
  </si>
  <si>
    <t xml:space="preserve">Letting the elbows drop, which dumps the bar forward.</t>
  </si>
  <si>
    <t xml:space="preserve">Goblet Squat, Barbell Back Squat, Leg Press, Bulgarian Split Squat, Bodyweight Squat</t>
  </si>
  <si>
    <t xml:space="preserve">Advanced only. Never taken to failure. Beginner and intermediate users are served Goblet Squat instead.</t>
  </si>
  <si>
    <t xml:space="preserve">QD02, QD01, QD05, QD03, QD09</t>
  </si>
  <si>
    <t xml:space="preserve">QD07</t>
  </si>
  <si>
    <t xml:space="preserve">Leg Extension</t>
  </si>
  <si>
    <t xml:space="preserve">Quadriceps, rectus femoris</t>
  </si>
  <si>
    <t xml:space="preserve">Quads | Knee Extension</t>
  </si>
  <si>
    <t xml:space="preserve">Leg extension machine</t>
  </si>
  <si>
    <t xml:space="preserve">The only common movement that trains the rectus femoris with the hip extended. Adds quad volume without any systemic fatigue.</t>
  </si>
  <si>
    <t xml:space="preserve">A machine isolation that targets the quads directly with no fatigue anywhere else.</t>
  </si>
  <si>
    <t xml:space="preserve">Set the pad on your lower shin and sit back into the seat</t>
  </si>
  <si>
    <t xml:space="preserve">Straighten your legs and pause briefly at the top</t>
  </si>
  <si>
    <t xml:space="preserve">Lower under control without letting the weight slam</t>
  </si>
  <si>
    <t xml:space="preserve">Swinging the weight up with momentum from the hips.</t>
  </si>
  <si>
    <t xml:space="preserve">Sissy Squat, Reverse Nordic Curl, Leg Press, Bodyweight Squat, Wall Sit</t>
  </si>
  <si>
    <t xml:space="preserve">Safe to train close to failure. Stop on sharp or joint pain and swap to Sissy Squat.</t>
  </si>
  <si>
    <t xml:space="preserve">QD14, QD10, QD05, QD09, QD12</t>
  </si>
  <si>
    <t xml:space="preserve">machine_leg_extension</t>
  </si>
  <si>
    <t xml:space="preserve">knee</t>
  </si>
  <si>
    <t xml:space="preserve">QD08</t>
  </si>
  <si>
    <t xml:space="preserve">Step Up</t>
  </si>
  <si>
    <t xml:space="preserve">Bench or box, optional dumbbells</t>
  </si>
  <si>
    <t xml:space="preserve">Low skill, low impact and highly transferable to stairs and daily life. A safe entry point to single leg training for deconditioned users.</t>
  </si>
  <si>
    <t xml:space="preserve">A step up that builds single leg strength and carries straight over to stairs and sport.</t>
  </si>
  <si>
    <t xml:space="preserve">Place one foot fully on a box around knee height</t>
  </si>
  <si>
    <t xml:space="preserve">Drive through that heel to stand up tall</t>
  </si>
  <si>
    <t xml:space="preserve">Lower slowly under control with the same leg</t>
  </si>
  <si>
    <t xml:space="preserve">Pushing off the back foot instead of driving with the top leg.</t>
  </si>
  <si>
    <t xml:space="preserve">Split Squat, Walking Lunge, Bulgarian Split Squat, Bodyweight Squat</t>
  </si>
  <si>
    <t xml:space="preserve">QD11, QD04, QD03, QD09</t>
  </si>
  <si>
    <t xml:space="preserve">bench/box/step</t>
  </si>
  <si>
    <t xml:space="preserve">QD09</t>
  </si>
  <si>
    <t xml:space="preserve">Bodyweight Squat</t>
  </si>
  <si>
    <t xml:space="preserve">The squat pattern was entirely absent from the bodyweight tier. This restores it, teaches the movement before load is added, and needs nothing but floor space.</t>
  </si>
  <si>
    <t xml:space="preserve">The base squat pattern. Trains the legs and grooves the movement before you add load.</t>
  </si>
  <si>
    <t xml:space="preserve">Stand with feet shoulder width, toes slightly out</t>
  </si>
  <si>
    <t xml:space="preserve">Sit down between your hips as far as you comfortably can</t>
  </si>
  <si>
    <t xml:space="preserve">Stand back up and squeeze your glutes</t>
  </si>
  <si>
    <t xml:space="preserve">Cutting the depth short and only using the top half of the range.</t>
  </si>
  <si>
    <t xml:space="preserve">Goblet Squat, Split Squat, Wall Sit, Leg Press, Step Up</t>
  </si>
  <si>
    <t xml:space="preserve">Safe to train close to failure. Stop on sharp or joint pain and swap to Goblet Squat.</t>
  </si>
  <si>
    <t xml:space="preserve">QD02, QD11, QD12, QD05, QD08</t>
  </si>
  <si>
    <t xml:space="preserve">QD10</t>
  </si>
  <si>
    <t xml:space="preserve">Reverse Nordic Curl</t>
  </si>
  <si>
    <t xml:space="preserve">Loaded quad stretch with no equipment, and the only alternative to the leg extension machine. Removes a hard dependency on a single piece of gym kit.</t>
  </si>
  <si>
    <t xml:space="preserve">A brutal bodyweight quad isolation that also protects the knees over time.</t>
  </si>
  <si>
    <t xml:space="preserve">Kneel tall on a soft surface with your glutes squeezed</t>
  </si>
  <si>
    <t xml:space="preserve">Lean back slowly, keeping a straight line from knees to head</t>
  </si>
  <si>
    <t xml:space="preserve">Go only as far as you can control, then pull yourself back up</t>
  </si>
  <si>
    <t xml:space="preserve">Breaking at the hips instead of staying in one straight line.</t>
  </si>
  <si>
    <t xml:space="preserve">Sissy Squat, Leg Extension, Wall Sit, Bodyweight Squat</t>
  </si>
  <si>
    <t xml:space="preserve">QD14, QD07, QD12, QD09</t>
  </si>
  <si>
    <t xml:space="preserve">QD11</t>
  </si>
  <si>
    <t xml:space="preserve">Split Squat</t>
  </si>
  <si>
    <t xml:space="preserve">Stationary, so it needs no room to travel and no balance to walk. The safest single leg entry point and the regression the Bulgarian split squat was missing.</t>
  </si>
  <si>
    <t xml:space="preserve">A stationary lunge. All the single leg benefit with none of the balance drama.</t>
  </si>
  <si>
    <t xml:space="preserve">Take a long stride and stay in that split stance</t>
  </si>
  <si>
    <t xml:space="preserve">Lower your back knee toward the floor</t>
  </si>
  <si>
    <t xml:space="preserve">Push through your front foot to stand back up</t>
  </si>
  <si>
    <t xml:space="preserve">Leaning the torso forward over the front knee.</t>
  </si>
  <si>
    <t xml:space="preserve">Walking Lunge, Step Up, Bulgarian Split Squat, Bodyweight Squat</t>
  </si>
  <si>
    <t xml:space="preserve">Safe to train close to failure. Stop on sharp or joint pain and swap to Walking Lunge.</t>
  </si>
  <si>
    <t xml:space="preserve">QD04, QD08, QD03, QD09</t>
  </si>
  <si>
    <t xml:space="preserve">QD12</t>
  </si>
  <si>
    <t xml:space="preserve">Wall Sit</t>
  </si>
  <si>
    <t xml:space="preserve">Quadriceps</t>
  </si>
  <si>
    <t xml:space="preserve">Wall</t>
  </si>
  <si>
    <t xml:space="preserve">Time</t>
  </si>
  <si>
    <t xml:space="preserve">Isometric, silent and needs a wall. Ideal for a shared house or a gap between lectures, and progressed by time rather than load.</t>
  </si>
  <si>
    <t xml:space="preserve">A static hold that builds quad endurance with no equipment and no impact.</t>
  </si>
  <si>
    <t xml:space="preserve">Slide down a wall until your knees are at 90 degrees</t>
  </si>
  <si>
    <t xml:space="preserve">Keep your back flat against the wall and your weight in your heels</t>
  </si>
  <si>
    <t xml:space="preserve">Hold for time and breathe normally</t>
  </si>
  <si>
    <t xml:space="preserve">Resting the hands on the thighs to take the load off.</t>
  </si>
  <si>
    <t xml:space="preserve">Bodyweight Squat, Goblet Squat, Leg Press, Split Squat</t>
  </si>
  <si>
    <t xml:space="preserve">Safe to train close to failure. Stop on sharp or joint pain and swap to Bodyweight Squat.</t>
  </si>
  <si>
    <t xml:space="preserve">QD09, QD02, QD05, QD11</t>
  </si>
  <si>
    <t xml:space="preserve">wall</t>
  </si>
  <si>
    <t xml:space="preserve">duration</t>
  </si>
  <si>
    <t xml:space="preserve">seconds</t>
  </si>
  <si>
    <t xml:space="preserve">QD13</t>
  </si>
  <si>
    <t xml:space="preserve">Jump Squat</t>
  </si>
  <si>
    <t xml:space="preserve">Power</t>
  </si>
  <si>
    <t xml:space="preserve">Adds power and a conditioning stimulus to the squat pattern. Lets a short bodyweight session drive heart rate without abandoning lower body training.</t>
  </si>
  <si>
    <t xml:space="preserve">An explosive squat that trains power and burns a lot of energy fast.</t>
  </si>
  <si>
    <t xml:space="preserve">Drop into a quarter squat with your arms back</t>
  </si>
  <si>
    <t xml:space="preserve">Jump as high as you can, driving the arms up</t>
  </si>
  <si>
    <t xml:space="preserve">Land softly, absorb it through the knees and hips, then reset</t>
  </si>
  <si>
    <t xml:space="preserve">Landing stiff legged with a loud, hard thud.</t>
  </si>
  <si>
    <t xml:space="preserve">Bodyweight Squat, Goblet Squat, Walking Lunge, Step Up</t>
  </si>
  <si>
    <t xml:space="preserve">Never taken to failure. End the set as soon as speed or landing quality drops.</t>
  </si>
  <si>
    <t xml:space="preserve">QD09, QD02, QD04, QD08</t>
  </si>
  <si>
    <t xml:space="preserve">HG01</t>
  </si>
  <si>
    <t xml:space="preserve">Romanian Deadlift</t>
  </si>
  <si>
    <t xml:space="preserve">Hamstrings &amp; Glutes</t>
  </si>
  <si>
    <t xml:space="preserve">Hamstrings, glutes, erectors</t>
  </si>
  <si>
    <t xml:space="preserve">Hamstrings &amp; Glutes | Hinge</t>
  </si>
  <si>
    <t xml:space="preserve">Barbell or dumbbells</t>
  </si>
  <si>
    <t xml:space="preserve">The main hip hinge for hamstring length and strength. Teaches the hinge pattern that protects the back in everyday lifting.</t>
  </si>
  <si>
    <t xml:space="preserve">A hip hinge that stretches and strengthens the hamstrings and glutes.</t>
  </si>
  <si>
    <t xml:space="preserve">Hold the bar at your hips with a soft knee bend</t>
  </si>
  <si>
    <t xml:space="preserve">Push your hips back and slide the bar down your thighs</t>
  </si>
  <si>
    <t xml:space="preserve">Stop when you feel a hamstring stretch, then drive your hips forward</t>
  </si>
  <si>
    <t xml:space="preserve">Bending the knees and turning it into a deadlift.</t>
  </si>
  <si>
    <t xml:space="preserve">Single Leg Romanian Deadlift, Cable Pull Through, Dumbbell Deadlift, Back Extension, Hip Thrust, Glute Bridge, Prone Superman</t>
  </si>
  <si>
    <t xml:space="preserve">Free weight compound. Always stop at least one rep short of failure. Swap to Single Leg Romanian Deadlift if form breaks down.</t>
  </si>
  <si>
    <t xml:space="preserve">HG07, HG08, BK13, HG09, HG02, HG03, HG12</t>
  </si>
  <si>
    <t xml:space="preserve">barbell/dumbbell</t>
  </si>
  <si>
    <t xml:space="preserve">HG02</t>
  </si>
  <si>
    <t xml:space="preserve">Hip Thrust</t>
  </si>
  <si>
    <t xml:space="preserve">Gluteus maximus</t>
  </si>
  <si>
    <t xml:space="preserve">H&amp;G | Glute Bridge</t>
  </si>
  <si>
    <t xml:space="preserve">Peak glute tension at full hip extension, where squats and deadlifts are easiest. Directly addresses the most requested aesthetic goal on the platform.</t>
  </si>
  <si>
    <t xml:space="preserve">The best loaded glute exercise there is, with almost no strain on the lower back.</t>
  </si>
  <si>
    <t xml:space="preserve">Sit with your upper back on a bench and the bar over your hips</t>
  </si>
  <si>
    <t xml:space="preserve">Drive through your heels and lift your hips until your torso is level</t>
  </si>
  <si>
    <t xml:space="preserve">Squeeze the glutes at the top, then lower under control</t>
  </si>
  <si>
    <t xml:space="preserve">Overarching the lower back at the top instead of squeezing the glutes.</t>
  </si>
  <si>
    <t xml:space="preserve">Glute Bridge, Single Leg Glute Bridge, Cable Pull Through, Romanian Deadlift, Back Extension</t>
  </si>
  <si>
    <t xml:space="preserve">Free weight compound. Always stop at least one rep short of failure. Swap to Glute Bridge if form breaks down.</t>
  </si>
  <si>
    <t xml:space="preserve">HG03, HG11, HG08, HG01, HG09</t>
  </si>
  <si>
    <t xml:space="preserve">HG03</t>
  </si>
  <si>
    <t xml:space="preserve">Glute Bridge</t>
  </si>
  <si>
    <t xml:space="preserve">Floor based, no equipment, and the natural regression from the hip thrust. Also a reliable warm up to wake up the glutes before squatting.</t>
  </si>
  <si>
    <t xml:space="preserve">A floor glute bridge. The simplest way to learn how to actually use your glutes.</t>
  </si>
  <si>
    <t xml:space="preserve">Lie on your back with your knees bent and heels close to your hips</t>
  </si>
  <si>
    <t xml:space="preserve">Drive through your heels and lift your hips</t>
  </si>
  <si>
    <t xml:space="preserve">Squeeze at the top, then lower slowly</t>
  </si>
  <si>
    <t xml:space="preserve">Pushing the hips so high that the lower back takes over.</t>
  </si>
  <si>
    <t xml:space="preserve">Hip Thrust, Single Leg Glute Bridge, Cable Pull Through, Back Extension, Prone Superman</t>
  </si>
  <si>
    <t xml:space="preserve">Safe to train close to failure. Stop on sharp or joint pain and swap to Hip Thrust.</t>
  </si>
  <si>
    <t xml:space="preserve">HG02, HG11, HG08, HG09, HG12</t>
  </si>
  <si>
    <t xml:space="preserve">HG04</t>
  </si>
  <si>
    <t xml:space="preserve">Seated Leg Curl</t>
  </si>
  <si>
    <t xml:space="preserve">Hamstrings</t>
  </si>
  <si>
    <t xml:space="preserve">H&amp;G | Knee Flexion</t>
  </si>
  <si>
    <t xml:space="preserve">Leg curl machine</t>
  </si>
  <si>
    <t xml:space="preserve">Trains knee flexion, which no hinge covers. Hamstrings have two jobs and a complete program must train both.</t>
  </si>
  <si>
    <t xml:space="preserve">A machine curl that trains the hamstrings in a stretched, safe position.</t>
  </si>
  <si>
    <t xml:space="preserve">Set the pad above your ankles and the thigh pad snug</t>
  </si>
  <si>
    <t xml:space="preserve">Curl your heels down and under the seat</t>
  </si>
  <si>
    <t xml:space="preserve">Return slowly without letting the stack crash</t>
  </si>
  <si>
    <t xml:space="preserve">Letting the hips lift off the seat to get more range.</t>
  </si>
  <si>
    <t xml:space="preserve">Lying Leg Curl, Slider Hamstring Curl, Nordic Hamstring Curl, Romanian Deadlift, Single Leg Romanian Deadlift</t>
  </si>
  <si>
    <t xml:space="preserve">Safe to train close to failure. Stop on sharp or joint pain and swap to Lying Leg Curl.</t>
  </si>
  <si>
    <t xml:space="preserve">HG05, HG14, HG06, HG01, HG07</t>
  </si>
  <si>
    <t xml:space="preserve">machine_leg_curl</t>
  </si>
  <si>
    <t xml:space="preserve">knee, hip</t>
  </si>
  <si>
    <t xml:space="preserve">HG05</t>
  </si>
  <si>
    <t xml:space="preserve">Lying Leg Curl</t>
  </si>
  <si>
    <t xml:space="preserve">Equipment dependent alternative to the seated curl so the program never fails just because one machine is occupied or absent.</t>
  </si>
  <si>
    <t xml:space="preserve">A machine curl that isolates the hamstrings lying face down.</t>
  </si>
  <si>
    <t xml:space="preserve">Lie face down with the pad just above your heels</t>
  </si>
  <si>
    <t xml:space="preserve">Curl your heels toward your glutes</t>
  </si>
  <si>
    <t xml:space="preserve">Lower slowly until your legs are almost straight</t>
  </si>
  <si>
    <t xml:space="preserve">Jerking the hips up off the bench to finish the rep.</t>
  </si>
  <si>
    <t xml:space="preserve">Seated Leg Curl, Slider Hamstring Curl, Nordic Hamstring Curl, Romanian Deadlift</t>
  </si>
  <si>
    <t xml:space="preserve">Safe to train close to failure. Stop on sharp or joint pain and swap to Seated Leg Curl.</t>
  </si>
  <si>
    <t xml:space="preserve">HG04, HG14, HG06, HG01</t>
  </si>
  <si>
    <t xml:space="preserve">HG06</t>
  </si>
  <si>
    <t xml:space="preserve">Nordic Hamstring Curl</t>
  </si>
  <si>
    <t xml:space="preserve">Partner or anchor</t>
  </si>
  <si>
    <t xml:space="preserve">The strongest evidence base of any single exercise for reducing hamstring strain injury. Valuable for the sport playing segment of the user base.</t>
  </si>
  <si>
    <t xml:space="preserve">The hardest bodyweight hamstring exercise. Builds serious resistance to hamstring strains. Advanced users only.</t>
  </si>
  <si>
    <t xml:space="preserve">Kneel with your ankles anchored and squeeze your glutes</t>
  </si>
  <si>
    <t xml:space="preserve">Lower your body forward as slowly as you can, staying in a straight line</t>
  </si>
  <si>
    <t xml:space="preserve">Catch yourself with your hands and push back to the start</t>
  </si>
  <si>
    <t xml:space="preserve">Bending at the hips instead of holding one straight line.</t>
  </si>
  <si>
    <t xml:space="preserve">Slider Hamstring Curl, Lying Leg Curl, Seated Leg Curl, Single Leg Romanian Deadlift, Romanian Deadlift</t>
  </si>
  <si>
    <t xml:space="preserve">Advanced only. Never taken to failure. Beginner and intermediate users are served Slider Hamstring Curl instead.</t>
  </si>
  <si>
    <t xml:space="preserve">HG14, HG05, HG04, HG07, HG01</t>
  </si>
  <si>
    <t xml:space="preserve">partner/anchor_point</t>
  </si>
  <si>
    <t xml:space="preserve">HG07</t>
  </si>
  <si>
    <t xml:space="preserve">Single Leg Romanian Deadlift</t>
  </si>
  <si>
    <t xml:space="preserve">Hamstrings, glutes</t>
  </si>
  <si>
    <t xml:space="preserve">Optional dumbbell</t>
  </si>
  <si>
    <t xml:space="preserve">Combines hinge, balance and hip stability. Delivers a real hamstring stimulus from very light loads, which suits minimal home setups.</t>
  </si>
  <si>
    <t xml:space="preserve">A single leg hinge that builds hamstrings, glutes and balance with light load.</t>
  </si>
  <si>
    <t xml:space="preserve">Stand on one leg with a soft knee bend</t>
  </si>
  <si>
    <t xml:space="preserve">Hinge forward, letting the back leg rise behind you</t>
  </si>
  <si>
    <t xml:space="preserve">Stop when your torso is level, then return to standing</t>
  </si>
  <si>
    <t xml:space="preserve">Letting the hips open out to the side instead of staying square.</t>
  </si>
  <si>
    <t xml:space="preserve">Romanian Deadlift, Cable Pull Through, Back Extension, Single Leg Glute Bridge, Prone Superman</t>
  </si>
  <si>
    <t xml:space="preserve">Free weight compound. Always stop at least one rep short of failure. Swap to Romanian Deadlift if form breaks down.</t>
  </si>
  <si>
    <t xml:space="preserve">HG01, HG08, HG09, HG11, HG12</t>
  </si>
  <si>
    <t xml:space="preserve">HG08</t>
  </si>
  <si>
    <t xml:space="preserve">Cable Pull Through</t>
  </si>
  <si>
    <t xml:space="preserve">Glutes, hamstrings</t>
  </si>
  <si>
    <t xml:space="preserve">Teaches the hinge with the load pulling the hips backward, so the pattern clicks fast. Low spinal load makes it a good high rep finisher.</t>
  </si>
  <si>
    <t xml:space="preserve">A cable hinge that teaches the hip pattern with the load pulling you backwards, not down.</t>
  </si>
  <si>
    <t xml:space="preserve">Face away from a low pulley with the rope between your legs</t>
  </si>
  <si>
    <t xml:space="preserve">Push your hips back until you feel a hamstring stretch</t>
  </si>
  <si>
    <t xml:space="preserve">Snap your hips forward and squeeze the glutes</t>
  </si>
  <si>
    <t xml:space="preserve">Pulling the rope with the arms instead of driving the hips.</t>
  </si>
  <si>
    <t xml:space="preserve">Romanian Deadlift, Hip Thrust, Glute Bridge, Back Extension, Prone Superman</t>
  </si>
  <si>
    <t xml:space="preserve">Safe to train close to failure. Stop on sharp or joint pain and swap to Romanian Deadlift.</t>
  </si>
  <si>
    <t xml:space="preserve">HG01, HG02, HG03, HG09, HG12</t>
  </si>
  <si>
    <t xml:space="preserve">HG09</t>
  </si>
  <si>
    <t xml:space="preserve">Back Extension</t>
  </si>
  <si>
    <t xml:space="preserve">Erectors, glutes, hamstrings</t>
  </si>
  <si>
    <t xml:space="preserve">45 degree bench or GHD</t>
  </si>
  <si>
    <t xml:space="preserve">Builds lower back endurance, which is the actual weak link for students who sit and study all day. Low load, high return.</t>
  </si>
  <si>
    <t xml:space="preserve">A back extension that strengthens the hamstrings, glutes and spinal erectors together.</t>
  </si>
  <si>
    <t xml:space="preserve">Set the pad just below your hip bones</t>
  </si>
  <si>
    <t xml:space="preserve">Hinge down until you feel a hamstring stretch</t>
  </si>
  <si>
    <t xml:space="preserve">Squeeze your glutes to raise your torso back to level</t>
  </si>
  <si>
    <t xml:space="preserve">Cranking past level into a big lower back arch.</t>
  </si>
  <si>
    <t xml:space="preserve">Prone Superman, Romanian Deadlift, Cable Pull Through, Glute Bridge</t>
  </si>
  <si>
    <t xml:space="preserve">Safe to train close to failure. Stop on sharp or joint pain and swap to Prone Superman.</t>
  </si>
  <si>
    <t xml:space="preserve">HG12, HG01, HG08, HG03</t>
  </si>
  <si>
    <t xml:space="preserve">back_extension_bench</t>
  </si>
  <si>
    <t xml:space="preserve">HG10</t>
  </si>
  <si>
    <t xml:space="preserve">Hip Abduction</t>
  </si>
  <si>
    <t xml:space="preserve">Gluteus medius, gluteus minimus</t>
  </si>
  <si>
    <t xml:space="preserve">H&amp;G | Abduction</t>
  </si>
  <si>
    <t xml:space="preserve">Resistance band or machine</t>
  </si>
  <si>
    <t xml:space="preserve">The only movement here that trains hip abduction. Squats, hinges and lunges barely touch the glute medius, which drives knee tracking and lateral hip stability. Fills the largest coverage gap in the lower body.</t>
  </si>
  <si>
    <t xml:space="preserve">A hip abduction that strengthens the side glutes and helps stubborn knee and hip pain.</t>
  </si>
  <si>
    <t xml:space="preserve">Sit or stand with a band or the machine pad at your knees</t>
  </si>
  <si>
    <t xml:space="preserve">Push your knees apart against the resistance</t>
  </si>
  <si>
    <t xml:space="preserve">Return slowly without letting the band snap back</t>
  </si>
  <si>
    <t xml:space="preserve">Leaning the torso back to force the range further.</t>
  </si>
  <si>
    <t xml:space="preserve">Lateral Band Walk, Single Leg Glute Bridge, Glute Bridge, Side Plank</t>
  </si>
  <si>
    <t xml:space="preserve">Safe to train close to failure. Stop on sharp or joint pain and swap to Lateral Band Walk.</t>
  </si>
  <si>
    <t xml:space="preserve">HG13, HG11, HG03, CO07</t>
  </si>
  <si>
    <t xml:space="preserve">band/machine_abduction</t>
  </si>
  <si>
    <t xml:space="preserve">HG11</t>
  </si>
  <si>
    <t xml:space="preserve">Single Leg Glute Bridge</t>
  </si>
  <si>
    <t xml:space="preserve">Gluteus maximus, hamstrings</t>
  </si>
  <si>
    <t xml:space="preserve">Doubles the load on the glute bridge using bodyweight alone. Gives the bridge a progression so a bodyweight user is not stuck once it becomes easy.</t>
  </si>
  <si>
    <t xml:space="preserve">A one leg glute bridge that doubles the load on each glute with no equipment.</t>
  </si>
  <si>
    <t xml:space="preserve">Lie on your back and lift one foot off the floor</t>
  </si>
  <si>
    <t xml:space="preserve">Drive through the planted heel and lift your hips</t>
  </si>
  <si>
    <t xml:space="preserve">Squeeze at the top and lower slowly</t>
  </si>
  <si>
    <t xml:space="preserve">Letting one hip drop lower than the other.</t>
  </si>
  <si>
    <t xml:space="preserve">Glute Bridge, Hip Thrust, Cable Pull Through, Back Extension</t>
  </si>
  <si>
    <t xml:space="preserve">Safe to train close to failure. Stop on sharp or joint pain and swap to Glute Bridge.</t>
  </si>
  <si>
    <t xml:space="preserve">HG03, HG02, HG08, HG09</t>
  </si>
  <si>
    <t xml:space="preserve">HG12</t>
  </si>
  <si>
    <t xml:space="preserve">Prone Superman</t>
  </si>
  <si>
    <t xml:space="preserve">Erectors, glutes</t>
  </si>
  <si>
    <t xml:space="preserve">Lower back endurance from the floor, with no bench required. The bodyweight stand in for the back extension and safe for users with sensitive spines.</t>
  </si>
  <si>
    <t xml:space="preserve">A floor extension for the glutes and lower back. Ideal when you have nothing at all.</t>
  </si>
  <si>
    <t xml:space="preserve">Lie face down with your arms out in front</t>
  </si>
  <si>
    <t xml:space="preserve">Lift your chest, arms and legs off the floor at once</t>
  </si>
  <si>
    <t xml:space="preserve">Hold briefly, then lower slowly</t>
  </si>
  <si>
    <t xml:space="preserve">Throwing the head back and straining the neck.</t>
  </si>
  <si>
    <t xml:space="preserve">Back Extension, Glute Bridge, Single Leg Glute Bridge, Romanian Deadlift</t>
  </si>
  <si>
    <t xml:space="preserve">Safe to train close to failure. Stop on sharp or joint pain and swap to Back Extension.</t>
  </si>
  <si>
    <t xml:space="preserve">HG09, HG03, HG11, HG01</t>
  </si>
  <si>
    <t xml:space="preserve">BI01</t>
  </si>
  <si>
    <t xml:space="preserve">Barbell Curl</t>
  </si>
  <si>
    <t xml:space="preserve">Biceps</t>
  </si>
  <si>
    <t xml:space="preserve">Biceps brachii</t>
  </si>
  <si>
    <t xml:space="preserve">Biceps | Curl</t>
  </si>
  <si>
    <t xml:space="preserve">Barbell or EZ bar</t>
  </si>
  <si>
    <t xml:space="preserve">The heaviest loadable curl, so it progresses cleanly. Standard reference movement for direct arm work.</t>
  </si>
  <si>
    <t xml:space="preserve">A loadable curl that lets you progress the biceps in small, trackable jumps.</t>
  </si>
  <si>
    <t xml:space="preserve">Stand tall holding the bar with an underhand grip</t>
  </si>
  <si>
    <t xml:space="preserve">Curl the bar up without swinging your elbows forward</t>
  </si>
  <si>
    <t xml:space="preserve">Lower it slowly to straight arms</t>
  </si>
  <si>
    <t xml:space="preserve">Rocking the body back to swing the bar up.</t>
  </si>
  <si>
    <t xml:space="preserve">Cable Curl, Dumbbell Incline Curl, Hammer Curl, Band Curl, Chin Up (Close Grip), Supinated Inverted Row</t>
  </si>
  <si>
    <t xml:space="preserve">Safe to train close to failure. Stop on sharp or joint pain and swap to Cable Curl.</t>
  </si>
  <si>
    <t xml:space="preserve">BI04, BI02, BI03, BI06, BI05, BI07</t>
  </si>
  <si>
    <t xml:space="preserve">barbell/ez_bar</t>
  </si>
  <si>
    <t xml:space="preserve">elbow</t>
  </si>
  <si>
    <t xml:space="preserve">BI02</t>
  </si>
  <si>
    <t xml:space="preserve">Dumbbell Incline Curl</t>
  </si>
  <si>
    <t xml:space="preserve">Biceps brachii, long head</t>
  </si>
  <si>
    <t xml:space="preserve">The shoulder extended position stretches the long head under load, which no standing curl achieves. Different stimulus, not just a different tool.</t>
  </si>
  <si>
    <t xml:space="preserve">A curl done lying back on an incline. Puts the biceps under a hard stretch.</t>
  </si>
  <si>
    <t xml:space="preserve">Sit back on an incline bench and let your arms hang straight down</t>
  </si>
  <si>
    <t xml:space="preserve">Curl the dumbbells up without moving your elbows forward</t>
  </si>
  <si>
    <t xml:space="preserve">Lower all the way until your arms are fully straight</t>
  </si>
  <si>
    <t xml:space="preserve">Cutting the bottom of the rep short and losing the stretch.</t>
  </si>
  <si>
    <t xml:space="preserve">Barbell Curl, Cable Curl, Hammer Curl, Band Curl</t>
  </si>
  <si>
    <t xml:space="preserve">Safe to train close to failure. Stop on sharp or joint pain and swap to Barbell Curl.</t>
  </si>
  <si>
    <t xml:space="preserve">BI01, BI04, BI03, BI06</t>
  </si>
  <si>
    <t xml:space="preserve">BI03</t>
  </si>
  <si>
    <t xml:space="preserve">Hammer Curl</t>
  </si>
  <si>
    <t xml:space="preserve">Brachialis, brachioradialis</t>
  </si>
  <si>
    <t xml:space="preserve">Trains the brachialis and forearm, which add arm thickness the supinated curl misses. Also gentler on cranky elbows and wrists.</t>
  </si>
  <si>
    <t xml:space="preserve">A neutral grip curl that builds the outer arm and forearm as well as the biceps.</t>
  </si>
  <si>
    <t xml:space="preserve">Stand with dumbbells at your sides, palms facing in</t>
  </si>
  <si>
    <t xml:space="preserve">Curl up keeping the palms facing each other</t>
  </si>
  <si>
    <t xml:space="preserve">Lower slowly to straight arms</t>
  </si>
  <si>
    <t xml:space="preserve">Letting the elbows drift forward at the top.</t>
  </si>
  <si>
    <t xml:space="preserve">Barbell Curl, Cable Curl, Dumbbell Incline Curl, Band Curl</t>
  </si>
  <si>
    <t xml:space="preserve">BI01, BI04, BI02, BI06</t>
  </si>
  <si>
    <t xml:space="preserve">BI04</t>
  </si>
  <si>
    <t xml:space="preserve">Cable Curl</t>
  </si>
  <si>
    <t xml:space="preserve">Constant tension with no dead spot at the top. Good for high rep pump work at the end of a pull day.</t>
  </si>
  <si>
    <t xml:space="preserve">A cable curl that keeps tension on the biceps even at the top of the rep.</t>
  </si>
  <si>
    <t xml:space="preserve">Stand a step back from a low pulley and grip the bar underhand</t>
  </si>
  <si>
    <t xml:space="preserve">Curl up with your elbows pinned to your sides</t>
  </si>
  <si>
    <t xml:space="preserve">Lower under control against the cable</t>
  </si>
  <si>
    <t xml:space="preserve">Stepping too close so the tension disappears at the bottom.</t>
  </si>
  <si>
    <t xml:space="preserve">Barbell Curl, Dumbbell Incline Curl, Hammer Curl, Band Curl</t>
  </si>
  <si>
    <t xml:space="preserve">BI01, BI02, BI03, BI06</t>
  </si>
  <si>
    <t xml:space="preserve">BI05</t>
  </si>
  <si>
    <t xml:space="preserve">Chin Up (Close Grip)</t>
  </si>
  <si>
    <t xml:space="preserve">Biceps brachii, lats</t>
  </si>
  <si>
    <t xml:space="preserve">Biceps | Compound Pull</t>
  </si>
  <si>
    <t xml:space="preserve">The only heavy compound biceps option. Lets a time poor user train back and arms in one movement.</t>
  </si>
  <si>
    <t xml:space="preserve">A close grip chin up. The heaviest biceps exercise you can do. Advanced users only.</t>
  </si>
  <si>
    <t xml:space="preserve">Hang from the bar with palms facing you, hands close together</t>
  </si>
  <si>
    <t xml:space="preserve">Pull your chest to the bar and think about curling yourself up</t>
  </si>
  <si>
    <t xml:space="preserve">Swinging the legs to generate momentum.</t>
  </si>
  <si>
    <t xml:space="preserve">Supinated Inverted Row, Band Assisted Chin Up, Barbell Curl, Cable Curl, Hammer Curl</t>
  </si>
  <si>
    <t xml:space="preserve">Advanced only. Never taken to failure. Beginner and intermediate users are served Supinated Inverted Row instead.</t>
  </si>
  <si>
    <t xml:space="preserve">BI07, BK15, BI01, BI04, BI03</t>
  </si>
  <si>
    <t xml:space="preserve">BI06</t>
  </si>
  <si>
    <t xml:space="preserve">Band Curl</t>
  </si>
  <si>
    <t xml:space="preserve">A bodyweight beginner previously had no biceps option, since the chin up is advanced. Bands give a scalable curl anywhere.</t>
  </si>
  <si>
    <t xml:space="preserve">A banded curl for training the arms with no weights at all.</t>
  </si>
  <si>
    <t xml:space="preserve">Stand on the band and hold the ends with palms up</t>
  </si>
  <si>
    <t xml:space="preserve">Curl your hands to your shoulders</t>
  </si>
  <si>
    <t xml:space="preserve">Lower slowly and fight the band on the way down</t>
  </si>
  <si>
    <t xml:space="preserve">Letting the band snap the arms back down.</t>
  </si>
  <si>
    <t xml:space="preserve">Hammer Curl, Barbell Curl, Cable Curl, Supinated Inverted Row</t>
  </si>
  <si>
    <t xml:space="preserve">Safe to train close to failure. Stop on sharp or joint pain and swap to Hammer Curl.</t>
  </si>
  <si>
    <t xml:space="preserve">BI03, BI01, BI04, BI07</t>
  </si>
  <si>
    <t xml:space="preserve">BI07</t>
  </si>
  <si>
    <t xml:space="preserve">Supinated Inverted Row</t>
  </si>
  <si>
    <t xml:space="preserve">A beginner friendly compound biceps option, since the chin up is advanced and the band curl was the only other choice. Difficulty scales purely by foot position.</t>
  </si>
  <si>
    <t xml:space="preserve">An underhand bodyweight row that loads the biceps and back at the same time.</t>
  </si>
  <si>
    <t xml:space="preserve">Lie under a bar and grip it underhand, shoulder width</t>
  </si>
  <si>
    <t xml:space="preserve">Pull your chest to the bar, elbows close to your body</t>
  </si>
  <si>
    <t xml:space="preserve">Letting the hips sag instead of holding a rigid line.</t>
  </si>
  <si>
    <t xml:space="preserve">Band Assisted Chin Up, Chin Up (Close Grip), Band Curl, Hammer Curl, Barbell Curl</t>
  </si>
  <si>
    <t xml:space="preserve">Safe to train close to failure. Stop on sharp or joint pain and swap to Band Assisted Chin Up.</t>
  </si>
  <si>
    <t xml:space="preserve">BK15, BI05, BI06, BI03, BI01</t>
  </si>
  <si>
    <t xml:space="preserve">TR01</t>
  </si>
  <si>
    <t xml:space="preserve">Close Grip Bench Press</t>
  </si>
  <si>
    <t xml:space="preserve">Triceps</t>
  </si>
  <si>
    <t xml:space="preserve">Triceps, pectoralis, anterior delt</t>
  </si>
  <si>
    <t xml:space="preserve">Triceps | Compound Press</t>
  </si>
  <si>
    <t xml:space="preserve">Heavy compound triceps loading that carries straight over to bench press lockout. The strength focused arm option.</t>
  </si>
  <si>
    <t xml:space="preserve">A narrow grip bench press. The heaviest way to load the triceps.</t>
  </si>
  <si>
    <t xml:space="preserve">Grip the bar around shoulder width, not any narrower</t>
  </si>
  <si>
    <t xml:space="preserve">Lower it to your lower chest with your elbows tucked in</t>
  </si>
  <si>
    <t xml:space="preserve">Press straight back up</t>
  </si>
  <si>
    <t xml:space="preserve">Gripping so narrow that the wrists and elbows take the strain.</t>
  </si>
  <si>
    <t xml:space="preserve">Skull Crusher, Triceps Pushdown, Overhead Cable Extension, Diamond Push Up, Bench Dip, Band Triceps Pushdown</t>
  </si>
  <si>
    <t xml:space="preserve">Free weight compound. Always stop at least one rep short of failure. Swap to Skull Crusher if form breaks down.</t>
  </si>
  <si>
    <t xml:space="preserve">TR04, TR03, TR02, TR06, TR05, TR07</t>
  </si>
  <si>
    <t xml:space="preserve">TR02</t>
  </si>
  <si>
    <t xml:space="preserve">Overhead Cable Extension</t>
  </si>
  <si>
    <t xml:space="preserve">Triceps, long head</t>
  </si>
  <si>
    <t xml:space="preserve">Triceps | Extension</t>
  </si>
  <si>
    <t xml:space="preserve">The overhead position lengthens the long head, which is the largest triceps head and the one pressing neglects. Highest value triceps isolation.</t>
  </si>
  <si>
    <t xml:space="preserve">An overhead extension that trains the long head of the triceps under a full stretch.</t>
  </si>
  <si>
    <t xml:space="preserve">Face away from the pulley with the rope behind your head</t>
  </si>
  <si>
    <t xml:space="preserve">Straighten your arms overhead, elbows pointing forward</t>
  </si>
  <si>
    <t xml:space="preserve">Let your hands drop behind your head under control</t>
  </si>
  <si>
    <t xml:space="preserve">Letting the elbows flare out wide as you press.</t>
  </si>
  <si>
    <t xml:space="preserve">Skull Crusher, Triceps Pushdown, Band Triceps Pushdown, Close Grip Bench Press, Diamond Push Up</t>
  </si>
  <si>
    <t xml:space="preserve">Safe to train close to failure. Stop on sharp or joint pain and swap to Skull Crusher.</t>
  </si>
  <si>
    <t xml:space="preserve">TR04, TR03, TR07, TR01, TR06</t>
  </si>
  <si>
    <t xml:space="preserve">TR03</t>
  </si>
  <si>
    <t xml:space="preserve">Triceps Pushdown</t>
  </si>
  <si>
    <t xml:space="preserve">Triceps, lateral head</t>
  </si>
  <si>
    <t xml:space="preserve">Simple, low fatigue and easy to load. The default triceps finisher when the user is already tired from pressing.</t>
  </si>
  <si>
    <t xml:space="preserve">A cable pushdown. The simplest way to add safe triceps volume.</t>
  </si>
  <si>
    <t xml:space="preserve">Stand tall with your elbows pinned to your sides</t>
  </si>
  <si>
    <t xml:space="preserve">Push the bar down until your arms are straight</t>
  </si>
  <si>
    <t xml:space="preserve">Let it rise back to chest height slowly</t>
  </si>
  <si>
    <t xml:space="preserve">Leaning over the bar and pressing with the chest.</t>
  </si>
  <si>
    <t xml:space="preserve">Band Triceps Pushdown, Overhead Cable Extension, Skull Crusher, Diamond Push Up, Bench Dip</t>
  </si>
  <si>
    <t xml:space="preserve">Safe to train close to failure. Stop on sharp or joint pain and swap to Band Triceps Pushdown.</t>
  </si>
  <si>
    <t xml:space="preserve">TR07, TR02, TR04, TR06, TR05</t>
  </si>
  <si>
    <t xml:space="preserve">TR04</t>
  </si>
  <si>
    <t xml:space="preserve">Skull Crusher</t>
  </si>
  <si>
    <t xml:space="preserve">EZ bar or dumbbells</t>
  </si>
  <si>
    <t xml:space="preserve">Free weight overhead style extension for users with no cable stack. Preserves long head training in a home gym.</t>
  </si>
  <si>
    <t xml:space="preserve">A lying extension that loads the triceps hard through a long range.</t>
  </si>
  <si>
    <t xml:space="preserve">Lie back holding the bar over your chest with straight arms</t>
  </si>
  <si>
    <t xml:space="preserve">Bend only at the elbows and lower the bar toward your forehead</t>
  </si>
  <si>
    <t xml:space="preserve">Press back up without letting the elbows drift</t>
  </si>
  <si>
    <t xml:space="preserve">Letting the elbows flare out and the shoulders take over.</t>
  </si>
  <si>
    <t xml:space="preserve">Overhead Cable Extension, Triceps Pushdown, Band Triceps Pushdown, Close Grip Bench Press, Diamond Push Up</t>
  </si>
  <si>
    <t xml:space="preserve">Safe to train close to failure. Stop on sharp or joint pain and swap to Overhead Cable Extension.</t>
  </si>
  <si>
    <t xml:space="preserve">TR02, TR03, TR07, TR01, TR06</t>
  </si>
  <si>
    <t xml:space="preserve">ez_bar/dumbbell</t>
  </si>
  <si>
    <t xml:space="preserve">TR05</t>
  </si>
  <si>
    <t xml:space="preserve">Bench Dip</t>
  </si>
  <si>
    <t xml:space="preserve">Bench or chair</t>
  </si>
  <si>
    <t xml:space="preserve">No equipment beyond a chair. Keeps direct triceps work in the program for bodyweight only users.</t>
  </si>
  <si>
    <t xml:space="preserve">A bodyweight dip off a bench. Triceps work with nothing but a chair.</t>
  </si>
  <si>
    <t xml:space="preserve">Sit on a bench, hands beside your hips, and slide your feet forward</t>
  </si>
  <si>
    <t xml:space="preserve">Lower your body by bending your elbows straight back</t>
  </si>
  <si>
    <t xml:space="preserve">Dropping too low and rolling the shoulders forward.</t>
  </si>
  <si>
    <t xml:space="preserve">Diamond Push Up, Triceps Pushdown, Band Triceps Pushdown, Close Grip Bench Press</t>
  </si>
  <si>
    <t xml:space="preserve">Safe to train close to failure. Stop on sharp or joint pain and swap to Diamond Push Up.</t>
  </si>
  <si>
    <t xml:space="preserve">TR06, TR03, TR07, TR01</t>
  </si>
  <si>
    <t xml:space="preserve">bench/chair</t>
  </si>
  <si>
    <t xml:space="preserve">TR06</t>
  </si>
  <si>
    <t xml:space="preserve">Diamond Push Up</t>
  </si>
  <si>
    <t xml:space="preserve">Triceps, pectoralis</t>
  </si>
  <si>
    <t xml:space="preserve">Second bodyweight triceps movement, so a user who dislikes bench dips or has cranky shoulders still has direct arm work.</t>
  </si>
  <si>
    <t xml:space="preserve">A narrow push up that shifts the work from the chest to the triceps.</t>
  </si>
  <si>
    <t xml:space="preserve">Set your hands close together under your chest</t>
  </si>
  <si>
    <t xml:space="preserve">Lower with your elbows tucked close to your ribs</t>
  </si>
  <si>
    <t xml:space="preserve">Press back up in one straight line</t>
  </si>
  <si>
    <t xml:space="preserve">Flaring the elbows out wide, which loads the shoulders.</t>
  </si>
  <si>
    <t xml:space="preserve">Bench Dip, Band Triceps Pushdown, Triceps Pushdown, Close Grip Bench Press</t>
  </si>
  <si>
    <t xml:space="preserve">Safe to train close to failure. Stop on sharp or joint pain and swap to Bench Dip.</t>
  </si>
  <si>
    <t xml:space="preserve">TR05, TR07, TR03, TR01</t>
  </si>
  <si>
    <t xml:space="preserve">TR07</t>
  </si>
  <si>
    <t xml:space="preserve">Band Triceps Pushdown</t>
  </si>
  <si>
    <t xml:space="preserve">Replicates the cable pushdown with a band and a door anchor. Keeps a low fatigue triceps finisher available to users with no gym access.</t>
  </si>
  <si>
    <t xml:space="preserve">A banded pushdown. Full triceps work with a band and a door.</t>
  </si>
  <si>
    <t xml:space="preserve">Anchor the band high and grip it with both hands</t>
  </si>
  <si>
    <t xml:space="preserve">Push down until your arms are straight, elbows at your sides</t>
  </si>
  <si>
    <t xml:space="preserve">Let the band rise back slowly</t>
  </si>
  <si>
    <t xml:space="preserve">Letting the elbows travel forward as you push.</t>
  </si>
  <si>
    <t xml:space="preserve">Triceps Pushdown, Overhead Cable Extension, Diamond Push Up, Bench Dip</t>
  </si>
  <si>
    <t xml:space="preserve">Safe to train close to failure. Stop on sharp or joint pain and swap to Triceps Pushdown.</t>
  </si>
  <si>
    <t xml:space="preserve">TR03, TR02, TR06, TR05</t>
  </si>
  <si>
    <t xml:space="preserve">CO01</t>
  </si>
  <si>
    <t xml:space="preserve">Plank</t>
  </si>
  <si>
    <t xml:space="preserve">Core</t>
  </si>
  <si>
    <t xml:space="preserve">Rectus abdominis, transverse abdominis</t>
  </si>
  <si>
    <t xml:space="preserve">Anti Extension</t>
  </si>
  <si>
    <t xml:space="preserve">Core | Anti Extension</t>
  </si>
  <si>
    <t xml:space="preserve">Teaches the bracing that protects the spine under every barbell lift. Universally accessible and easy to time and progress.</t>
  </si>
  <si>
    <t xml:space="preserve">A hold that teaches the core to resist your spine bending under load.</t>
  </si>
  <si>
    <t xml:space="preserve">Set your elbows under your shoulders and your body in one line</t>
  </si>
  <si>
    <t xml:space="preserve">Squeeze your glutes and pull your belly button in</t>
  </si>
  <si>
    <t xml:space="preserve">Breathe normally and hold for time</t>
  </si>
  <si>
    <t xml:space="preserve">Letting the hips sag or pike up as you fatigue.</t>
  </si>
  <si>
    <t xml:space="preserve">Dead Bug, Hollow Body Hold, Bird Dog, Ab Wheel Rollout, Reverse Crunch</t>
  </si>
  <si>
    <t xml:space="preserve">Safe to train close to failure. Stop on sharp or joint pain and swap to Dead Bug.</t>
  </si>
  <si>
    <t xml:space="preserve">CO02, CO11, CO12, CO06, CO09</t>
  </si>
  <si>
    <t xml:space="preserve">core, lower_back</t>
  </si>
  <si>
    <t xml:space="preserve">CO02</t>
  </si>
  <si>
    <t xml:space="preserve">Dead Bug</t>
  </si>
  <si>
    <t xml:space="preserve">Transverse abdominis, obliques</t>
  </si>
  <si>
    <t xml:space="preserve">Trains core stability while limbs move, with almost zero spinal load. Safe for users with existing lower back pain.</t>
  </si>
  <si>
    <t xml:space="preserve">A slow, controlled drill that trains the deep core without straining the back.</t>
  </si>
  <si>
    <t xml:space="preserve">Lie on your back with your arms and knees up over you</t>
  </si>
  <si>
    <t xml:space="preserve">Lower one arm and the opposite leg toward the floor</t>
  </si>
  <si>
    <t xml:space="preserve">Return and repeat on the other side, keeping your back flat</t>
  </si>
  <si>
    <t xml:space="preserve">Letting the lower back arch off the floor as the leg lowers.</t>
  </si>
  <si>
    <t xml:space="preserve">Plank, Bird Dog, Reverse Crunch, Hollow Body Hold</t>
  </si>
  <si>
    <t xml:space="preserve">Safe to train close to failure. Stop on sharp or joint pain and swap to Plank.</t>
  </si>
  <si>
    <t xml:space="preserve">CO01, CO12, CO09, CO11</t>
  </si>
  <si>
    <t xml:space="preserve">CO03</t>
  </si>
  <si>
    <t xml:space="preserve">Hanging Leg Raise</t>
  </si>
  <si>
    <t xml:space="preserve">Rectus abdominis, hip flexors</t>
  </si>
  <si>
    <t xml:space="preserve">One of the few core movements that loads the abs through a long range against real resistance. The upper end of core progression.</t>
  </si>
  <si>
    <t xml:space="preserve">A hanging raise that loads the lower abs hard. Advanced users only.</t>
  </si>
  <si>
    <t xml:space="preserve">Hang from a bar with your shoulders pulled down</t>
  </si>
  <si>
    <t xml:space="preserve">Raise your legs until your thighs pass parallel</t>
  </si>
  <si>
    <t xml:space="preserve">Lower slowly without swinging</t>
  </si>
  <si>
    <t xml:space="preserve">Swinging back and forth and using momentum, not the abs.</t>
  </si>
  <si>
    <t xml:space="preserve">Reverse Crunch, Hollow Body Hold, Cable Crunch, Dead Bug, Plank</t>
  </si>
  <si>
    <t xml:space="preserve">Advanced only. Never taken to failure. Beginner and intermediate users are served Reverse Crunch instead.</t>
  </si>
  <si>
    <t xml:space="preserve">CO09, CO11, CO08, CO02, CO01</t>
  </si>
  <si>
    <t xml:space="preserve">core, hip</t>
  </si>
  <si>
    <t xml:space="preserve">CO04</t>
  </si>
  <si>
    <t xml:space="preserve">Cable Woodchop</t>
  </si>
  <si>
    <t xml:space="preserve">Obliques, transverse abdominis</t>
  </si>
  <si>
    <t xml:space="preserve">Rotation</t>
  </si>
  <si>
    <t xml:space="preserve">Core | Rotation</t>
  </si>
  <si>
    <t xml:space="preserve">Trains resisted rotation, which is the pattern used in almost every sport. Rotation is otherwise missing from a standard lifting program.</t>
  </si>
  <si>
    <t xml:space="preserve">A cable chop that trains the core to move and brace through rotation.</t>
  </si>
  <si>
    <t xml:space="preserve">Set the pulley high and stand side on with your feet planted</t>
  </si>
  <si>
    <t xml:space="preserve">Pull the handle down and across your body, rotating through the ribs</t>
  </si>
  <si>
    <t xml:space="preserve">Return slowly and stay braced</t>
  </si>
  <si>
    <t xml:space="preserve">Rotating from the lower back rather than the ribs and hips.</t>
  </si>
  <si>
    <t xml:space="preserve">Standing Band Rotation, Russian Twist, Pallof Press, Side Plank</t>
  </si>
  <si>
    <t xml:space="preserve">Safe to train close to failure. Stop on sharp or joint pain and swap to Standing Band Rotation.</t>
  </si>
  <si>
    <t xml:space="preserve">CO10, CO14, CO05, CO07</t>
  </si>
  <si>
    <t xml:space="preserve">lower_back, core</t>
  </si>
  <si>
    <t xml:space="preserve">CO05</t>
  </si>
  <si>
    <t xml:space="preserve">Pallof Press</t>
  </si>
  <si>
    <t xml:space="preserve">Anti Rotation</t>
  </si>
  <si>
    <t xml:space="preserve">Core | Anti Rotation</t>
  </si>
  <si>
    <t xml:space="preserve">Cable or resistance band</t>
  </si>
  <si>
    <t xml:space="preserve">Anti rotation strength with a band substitute available. Directly improves the trunk stiffness that carries over to squat and deadlift.</t>
  </si>
  <si>
    <t xml:space="preserve">An anti rotation press that builds a genuinely stable, strong midsection.</t>
  </si>
  <si>
    <t xml:space="preserve">Stand side on to a cable or band at chest height</t>
  </si>
  <si>
    <t xml:space="preserve">Press your hands straight out in front of your chest</t>
  </si>
  <si>
    <t xml:space="preserve">Resist the pull, hold briefly, then bring your hands back in</t>
  </si>
  <si>
    <t xml:space="preserve">Letting the torso twist toward the anchor as you press.</t>
  </si>
  <si>
    <t xml:space="preserve">Standing Band Rotation, Bird Dog, Plank, Dead Bug, Side Plank</t>
  </si>
  <si>
    <t xml:space="preserve">CO10, CO12, CO01, CO02, CO07</t>
  </si>
  <si>
    <t xml:space="preserve">cable_machine/band</t>
  </si>
  <si>
    <t xml:space="preserve">core</t>
  </si>
  <si>
    <t xml:space="preserve">CO06</t>
  </si>
  <si>
    <t xml:space="preserve">Ab Wheel Rollout</t>
  </si>
  <si>
    <t xml:space="preserve">Rectus abdominis, lats</t>
  </si>
  <si>
    <t xml:space="preserve">Ab wheel</t>
  </si>
  <si>
    <t xml:space="preserve">The hardest anti extension movement most people will ever do, from a cheap piece of kit. Excellent progression target for the plank.</t>
  </si>
  <si>
    <t xml:space="preserve">The hardest anti extension exercise in the gym. Advanced users only.</t>
  </si>
  <si>
    <t xml:space="preserve">Kneel with the wheel under your shoulders</t>
  </si>
  <si>
    <t xml:space="preserve">Roll forward as far as you can hold a flat back</t>
  </si>
  <si>
    <t xml:space="preserve">Pull yourself back with your abs, not your hips</t>
  </si>
  <si>
    <t xml:space="preserve">Rolling out so far the lower back sags into an arch.</t>
  </si>
  <si>
    <t xml:space="preserve">Hollow Body Hold, Plank, Dead Bug, Cable Crunch, Reverse Crunch</t>
  </si>
  <si>
    <t xml:space="preserve">Advanced only. Never taken to failure. Beginner and intermediate users are served Hollow Body Hold instead.</t>
  </si>
  <si>
    <t xml:space="preserve">CO11, CO01, CO02, CO08, CO09</t>
  </si>
  <si>
    <t xml:space="preserve">ab_wheel</t>
  </si>
  <si>
    <t xml:space="preserve">CO07</t>
  </si>
  <si>
    <t xml:space="preserve">Side Plank</t>
  </si>
  <si>
    <t xml:space="preserve">Obliques, quadratus lumborum</t>
  </si>
  <si>
    <t xml:space="preserve">Lateral Flexion</t>
  </si>
  <si>
    <t xml:space="preserve">Core | Lateral Flexion</t>
  </si>
  <si>
    <t xml:space="preserve">Covers the lateral trunk, which the front plank ignores. Rounds out the core in the frontal plane.</t>
  </si>
  <si>
    <t xml:space="preserve">A side hold that trains the obliques and the muscles that stop you tipping sideways.</t>
  </si>
  <si>
    <t xml:space="preserve">Lie on your side with your elbow under your shoulder</t>
  </si>
  <si>
    <t xml:space="preserve">Lift your hips so your body forms one straight line</t>
  </si>
  <si>
    <t xml:space="preserve">Hold for time, then swap sides</t>
  </si>
  <si>
    <t xml:space="preserve">Letting the hips drift backwards out of line.</t>
  </si>
  <si>
    <t xml:space="preserve">Copenhagen Plank, Suitcase Carry, Pallof Press, Plank</t>
  </si>
  <si>
    <t xml:space="preserve">Safe to train close to failure. Stop on sharp or joint pain and swap to Copenhagen Plank.</t>
  </si>
  <si>
    <t xml:space="preserve">CO13, FB07, CO05, CO01</t>
  </si>
  <si>
    <t xml:space="preserve">CO08</t>
  </si>
  <si>
    <t xml:space="preserve">Cable Crunch</t>
  </si>
  <si>
    <t xml:space="preserve">Rectus abdominis</t>
  </si>
  <si>
    <t xml:space="preserve">Progressive overload for the abs, which bodyweight crunches cannot provide once a user is conditioned. Treats abs like any other muscle.</t>
  </si>
  <si>
    <t xml:space="preserve">A loadable crunch that lets you actually progress the abs over a semester.</t>
  </si>
  <si>
    <t xml:space="preserve">Kneel facing a high rope and hold it beside your head</t>
  </si>
  <si>
    <t xml:space="preserve">Crunch down by rounding your spine, hips staying still</t>
  </si>
  <si>
    <t xml:space="preserve">Return slowly under control</t>
  </si>
  <si>
    <t xml:space="preserve">Hinging at the hips instead of curling the spine.</t>
  </si>
  <si>
    <t xml:space="preserve">Reverse Crunch, Hanging Leg Raise, Hollow Body Hold, Plank, Dead Bug</t>
  </si>
  <si>
    <t xml:space="preserve">Safe to train close to failure. Stop on sharp or joint pain and swap to Reverse Crunch.</t>
  </si>
  <si>
    <t xml:space="preserve">CO09, CO03, CO11, CO01, CO02</t>
  </si>
  <si>
    <t xml:space="preserve">CO09</t>
  </si>
  <si>
    <t xml:space="preserve">Reverse Crunch</t>
  </si>
  <si>
    <t xml:space="preserve">Bridges the gap between the dead bug and the hanging leg raise. Trains posterior pelvic tilt against gravity with no equipment, giving the generator a middle rung on the core ladder.</t>
  </si>
  <si>
    <t xml:space="preserve">A crunch that curls the hips up. Hits the lower abs with zero equipment.</t>
  </si>
  <si>
    <t xml:space="preserve">Lie on your back with your knees bent over your hips</t>
  </si>
  <si>
    <t xml:space="preserve">Curl your hips off the floor toward your ribs</t>
  </si>
  <si>
    <t xml:space="preserve">Lower slowly without letting your feet touch down</t>
  </si>
  <si>
    <t xml:space="preserve">Swinging the legs up rather than curling the pelvis.</t>
  </si>
  <si>
    <t xml:space="preserve">Hollow Body Hold, Dead Bug, Cable Crunch, Plank</t>
  </si>
  <si>
    <t xml:space="preserve">Safe to train close to failure. Stop on sharp or joint pain and swap to Hollow Body Hold.</t>
  </si>
  <si>
    <t xml:space="preserve">CO11, CO02, CO08, CO01</t>
  </si>
  <si>
    <t xml:space="preserve">CO10</t>
  </si>
  <si>
    <t xml:space="preserve">Standing Band Rotation</t>
  </si>
  <si>
    <t xml:space="preserve">Rotation was only trainable on a cable machine. This makes the pattern available to every user and gives the woodchop a true alternative.</t>
  </si>
  <si>
    <t xml:space="preserve">A standing rotation that trains the core to produce twist, not just resist it.</t>
  </si>
  <si>
    <t xml:space="preserve">Anchor a band at chest height and stand side on</t>
  </si>
  <si>
    <t xml:space="preserve">Rotate your ribs away from the anchor with straight arms</t>
  </si>
  <si>
    <t xml:space="preserve">Return slowly and keep your hips fairly quiet</t>
  </si>
  <si>
    <t xml:space="preserve">Turning the arms only while the torso stays still.</t>
  </si>
  <si>
    <t xml:space="preserve">Cable Woodchop, Russian Twist, Pallof Press</t>
  </si>
  <si>
    <t xml:space="preserve">Safe to train close to failure. Stop on sharp or joint pain and swap to Cable Woodchop.</t>
  </si>
  <si>
    <t xml:space="preserve">CO04, CO14, CO05</t>
  </si>
  <si>
    <t xml:space="preserve">CO11</t>
  </si>
  <si>
    <t xml:space="preserve">Hollow Body Hold</t>
  </si>
  <si>
    <t xml:space="preserve">The progression between the plank and the hanging leg raise, and it carries directly into gymnastic and calisthenic goals. Trains the whole anterior chain under tension.</t>
  </si>
  <si>
    <t xml:space="preserve">A hold that locks the whole front of the core under tension at once.</t>
  </si>
  <si>
    <t xml:space="preserve">Lie on your back and press your lower back into the floor</t>
  </si>
  <si>
    <t xml:space="preserve">Lift your arms, head and legs a few inches off the ground</t>
  </si>
  <si>
    <t xml:space="preserve">Hold and keep the lower back flat the whole time</t>
  </si>
  <si>
    <t xml:space="preserve">Letting a gap open under the lower back.</t>
  </si>
  <si>
    <t xml:space="preserve">Dead Bug, Plank, Reverse Crunch, Ab Wheel Rollout</t>
  </si>
  <si>
    <t xml:space="preserve">CO02, CO01, CO09, CO06</t>
  </si>
  <si>
    <t xml:space="preserve">CO12</t>
  </si>
  <si>
    <t xml:space="preserve">Bird Dog</t>
  </si>
  <si>
    <t xml:space="preserve">Transverse abdominis, obliques, erectors</t>
  </si>
  <si>
    <t xml:space="preserve">Anti rotation with zero equipment, where the Pallof press previously needed a band or cable. Also the most back friendly core movement in the database.</t>
  </si>
  <si>
    <t xml:space="preserve">A gentle drill that builds core control and is safe for almost any back.</t>
  </si>
  <si>
    <t xml:space="preserve">Start on all fours with a flat back</t>
  </si>
  <si>
    <t xml:space="preserve">Reach one arm forward and the opposite leg back</t>
  </si>
  <si>
    <t xml:space="preserve">Hold briefly, return, and swap sides without rocking</t>
  </si>
  <si>
    <t xml:space="preserve">Letting the hips rotate as the leg lifts.</t>
  </si>
  <si>
    <t xml:space="preserve">Dead Bug, Pallof Press, Plank</t>
  </si>
  <si>
    <t xml:space="preserve">CO02, CO05, CO01</t>
  </si>
  <si>
    <t xml:space="preserve">CO13</t>
  </si>
  <si>
    <t xml:space="preserve">Copenhagen Plank</t>
  </si>
  <si>
    <t xml:space="preserve">Adductors, obliques</t>
  </si>
  <si>
    <t xml:space="preserve">The only movement here that loads the adductors, which nothing else in the database trains directly. Strong evidence base for reducing groin injury in field sport athletes.</t>
  </si>
  <si>
    <t xml:space="preserve">A side plank variation that also protects the groin. Advanced users only.</t>
  </si>
  <si>
    <t xml:space="preserve">Set your top leg on a bench and your elbow under your shoulder</t>
  </si>
  <si>
    <t xml:space="preserve">Lift your hips until your body is in one straight line</t>
  </si>
  <si>
    <t xml:space="preserve">Starting with the full version before the knee supported one.</t>
  </si>
  <si>
    <t xml:space="preserve">Side Plank, Suitcase Carry, Pallof Press, Plank</t>
  </si>
  <si>
    <t xml:space="preserve">Advanced only. Never taken to failure. Beginner and intermediate users are served Side Plank instead.</t>
  </si>
  <si>
    <t xml:space="preserve">CO07, FB07, CO05, CO01</t>
  </si>
  <si>
    <t xml:space="preserve">CA01</t>
  </si>
  <si>
    <t xml:space="preserve">Standing Calf Raise</t>
  </si>
  <si>
    <t xml:space="preserve">Calves</t>
  </si>
  <si>
    <t xml:space="preserve">Gastrocnemius</t>
  </si>
  <si>
    <t xml:space="preserve">Calves | Isolation</t>
  </si>
  <si>
    <t xml:space="preserve">Machine, dumbbells or step</t>
  </si>
  <si>
    <t xml:space="preserve">Knee extended, so the gastrocnemius takes the load. The main calf builder and easy to run anywhere with a step.</t>
  </si>
  <si>
    <t xml:space="preserve">A standing raise that builds the calf through a full stretch and contraction.</t>
  </si>
  <si>
    <t xml:space="preserve">Stand with the balls of your feet on a step or platform</t>
  </si>
  <si>
    <t xml:space="preserve">Drop your heels down until you feel a stretch</t>
  </si>
  <si>
    <t xml:space="preserve">Push all the way up onto your toes and pause</t>
  </si>
  <si>
    <t xml:space="preserve">Bouncing through the reps and skipping the stretch.</t>
  </si>
  <si>
    <t xml:space="preserve">Seated Calf Raise, Single Leg Calf Raise, Pogo Hop</t>
  </si>
  <si>
    <t xml:space="preserve">Safe to train close to failure. Stop on sharp or joint pain and swap to Seated Calf Raise.</t>
  </si>
  <si>
    <t xml:space="preserve">CA02, CA03, CA04</t>
  </si>
  <si>
    <t xml:space="preserve">machine_calf/dumbbell/step</t>
  </si>
  <si>
    <t xml:space="preserve">ankle</t>
  </si>
  <si>
    <t xml:space="preserve">CA02</t>
  </si>
  <si>
    <t xml:space="preserve">Seated Calf Raise</t>
  </si>
  <si>
    <t xml:space="preserve">Soleus</t>
  </si>
  <si>
    <t xml:space="preserve">Seated calf machine</t>
  </si>
  <si>
    <t xml:space="preserve">Knee bent, which shifts work to the soleus. The two calf muscles need different knee angles, so both variants are required for full development.</t>
  </si>
  <si>
    <t xml:space="preserve">A seated raise that targets the deeper calf muscle under the main one.</t>
  </si>
  <si>
    <t xml:space="preserve">Sit with the pad on your thighs and the balls of your feet on the platform</t>
  </si>
  <si>
    <t xml:space="preserve">Lower your heels until you feel a stretch</t>
  </si>
  <si>
    <t xml:space="preserve">Press up onto your toes and squeeze</t>
  </si>
  <si>
    <t xml:space="preserve">Using half the range because the weight is too heavy.</t>
  </si>
  <si>
    <t xml:space="preserve">Standing Calf Raise, Single Leg Calf Raise, Pogo Hop</t>
  </si>
  <si>
    <t xml:space="preserve">Safe to train close to failure. Stop on sharp or joint pain and swap to Standing Calf Raise.</t>
  </si>
  <si>
    <t xml:space="preserve">CA01, CA03, CA04</t>
  </si>
  <si>
    <t xml:space="preserve">machine_seated_calf</t>
  </si>
  <si>
    <t xml:space="preserve">CA03</t>
  </si>
  <si>
    <t xml:space="preserve">Single Leg Calf Raise</t>
  </si>
  <si>
    <t xml:space="preserve">Gastrocnemius, soleus</t>
  </si>
  <si>
    <t xml:space="preserve">Doubles the load using only bodyweight. Makes calf training viable with no equipment at all.</t>
  </si>
  <si>
    <t xml:space="preserve">A one leg raise that doubles the load on each calf with no weights.</t>
  </si>
  <si>
    <t xml:space="preserve">Stand on one foot with the ball of your foot on a step</t>
  </si>
  <si>
    <t xml:space="preserve">Lower your heel until you feel a stretch</t>
  </si>
  <si>
    <t xml:space="preserve">Push up onto your toes and pause at the top</t>
  </si>
  <si>
    <t xml:space="preserve">Holding the rail so hard that your arm takes the load.</t>
  </si>
  <si>
    <t xml:space="preserve">Standing Calf Raise, Seated Calf Raise, Pogo Hop</t>
  </si>
  <si>
    <t xml:space="preserve">CA01, CA02, CA04</t>
  </si>
  <si>
    <t xml:space="preserve">step/stair</t>
  </si>
  <si>
    <t xml:space="preserve">FB01</t>
  </si>
  <si>
    <t xml:space="preserve">Kettlebell Swing</t>
  </si>
  <si>
    <t xml:space="preserve">Full Body &amp; Conditioning</t>
  </si>
  <si>
    <t xml:space="preserve">Glutes, hamstrings, erectors</t>
  </si>
  <si>
    <t xml:space="preserve">Full Body &amp; Conditioning | Hinge</t>
  </si>
  <si>
    <t xml:space="preserve">Kettlebell</t>
  </si>
  <si>
    <t xml:space="preserve">Builds explosive hip extension and drives heart rate hard with a single tool. Bridges strength work and conditioning in one exercise.</t>
  </si>
  <si>
    <t xml:space="preserve">An explosive hip hinge that builds power and conditioning at the same time.</t>
  </si>
  <si>
    <t xml:space="preserve">Stand with the bell an arm's length in front of you and hinge to grip it</t>
  </si>
  <si>
    <t xml:space="preserve">Hike it back between your legs, then snap your hips forward</t>
  </si>
  <si>
    <t xml:space="preserve">Let it float to chest height and guide it back down</t>
  </si>
  <si>
    <t xml:space="preserve">Squatting the bell up and lifting with the arms.</t>
  </si>
  <si>
    <t xml:space="preserve">Dumbbell Swing, Cable Pull Through, Romanian Deadlift, Jump Squat, Burpee</t>
  </si>
  <si>
    <t xml:space="preserve">FB11, HG08, HG01, QD13, FB03</t>
  </si>
  <si>
    <t xml:space="preserve">kettlebell</t>
  </si>
  <si>
    <t xml:space="preserve">Moderate</t>
  </si>
  <si>
    <t xml:space="preserve">FB02</t>
  </si>
  <si>
    <t xml:space="preserve">Farmer Carry</t>
  </si>
  <si>
    <t xml:space="preserve">Traps, forearms, core</t>
  </si>
  <si>
    <t xml:space="preserve">Carry</t>
  </si>
  <si>
    <t xml:space="preserve">Full Body | Carry</t>
  </si>
  <si>
    <t xml:space="preserve">Dumbbells or kettlebells</t>
  </si>
  <si>
    <t xml:space="preserve">Grip, trunk and postural strength under a real load. Almost impossible to do with bad technique, so it is safe to prescribe to anyone.</t>
  </si>
  <si>
    <t xml:space="preserve">A loaded walk that builds grip, traps and a rock solid core.</t>
  </si>
  <si>
    <t xml:space="preserve">Pick up a heavy weight in each hand with a flat back</t>
  </si>
  <si>
    <t xml:space="preserve">Stand tall, shoulders back, and walk with short controlled steps</t>
  </si>
  <si>
    <t xml:space="preserve">Walk for the set time, then place the weights down carefully</t>
  </si>
  <si>
    <t xml:space="preserve">Leaning back or letting the shoulders round forward.</t>
  </si>
  <si>
    <t xml:space="preserve">Suitcase Carry, Side Plank, Plank</t>
  </si>
  <si>
    <t xml:space="preserve">Safe to train close to failure. Stop on sharp or joint pain and swap to Suitcase Carry.</t>
  </si>
  <si>
    <t xml:space="preserve">FB07, CO07, CO01</t>
  </si>
  <si>
    <t xml:space="preserve">shoulder, core, grip, lower_back</t>
  </si>
  <si>
    <t xml:space="preserve">FB07</t>
  </si>
  <si>
    <t xml:space="preserve">Suitcase Carry</t>
  </si>
  <si>
    <t xml:space="preserve">Obliques, traps, forearms, core</t>
  </si>
  <si>
    <t xml:space="preserve">Single dumbbell or kettlebell</t>
  </si>
  <si>
    <t xml:space="preserve">Alternative to the farmer carry and a loaded anti lateral flexion movement, which the side plank was otherwise carrying alone.</t>
  </si>
  <si>
    <t xml:space="preserve">A one sided carry that forces the obliques to stop you tipping over.</t>
  </si>
  <si>
    <t xml:space="preserve">Pick up one weight and stand tall</t>
  </si>
  <si>
    <t xml:space="preserve">Walk in a straight line without leaning to either side</t>
  </si>
  <si>
    <t xml:space="preserve">Swap hands and repeat for the same distance</t>
  </si>
  <si>
    <t xml:space="preserve">Leaning away from the weight instead of staying upright.</t>
  </si>
  <si>
    <t xml:space="preserve">Farmer Carry, Side Plank, Pallof Press</t>
  </si>
  <si>
    <t xml:space="preserve">Safe to train close to failure. Stop on sharp or joint pain and swap to Farmer Carry.</t>
  </si>
  <si>
    <t xml:space="preserve">FB02, CO07, CO05</t>
  </si>
  <si>
    <t xml:space="preserve">CA04</t>
  </si>
  <si>
    <t xml:space="preserve">Pogo Hop</t>
  </si>
  <si>
    <t xml:space="preserve">Trains the calves elastically rather than through slow tension, and gives the single leg calf raise its only bodyweight alternative. Doubles as a low cost warm up.</t>
  </si>
  <si>
    <t xml:space="preserve">A springy hop that builds calf stiffness and elasticity for running and jumping.</t>
  </si>
  <si>
    <t xml:space="preserve">Stand tall with stiff ankles and straight legs</t>
  </si>
  <si>
    <t xml:space="preserve">Hop lightly off the balls of your feet</t>
  </si>
  <si>
    <t xml:space="preserve">Spend as little time on the ground as possible</t>
  </si>
  <si>
    <t xml:space="preserve">Bending the knees and turning it into a squat jump.</t>
  </si>
  <si>
    <t xml:space="preserve">Single Leg Calf Raise, Standing Calf Raise, Seated Calf Raise</t>
  </si>
  <si>
    <t xml:space="preserve">CA03, CA01, CA02</t>
  </si>
  <si>
    <t xml:space="preserve">FB03</t>
  </si>
  <si>
    <t xml:space="preserve">Burpee</t>
  </si>
  <si>
    <t xml:space="preserve">Full body</t>
  </si>
  <si>
    <t xml:space="preserve">Full Body</t>
  </si>
  <si>
    <t xml:space="preserve">Full Body &amp; Conditioning | Full Body</t>
  </si>
  <si>
    <t xml:space="preserve">Interval</t>
  </si>
  <si>
    <t xml:space="preserve">Maximum conditioning stimulus per second with zero equipment. The workhorse of any circuit or HIIT block.</t>
  </si>
  <si>
    <t xml:space="preserve">A full body conditioning move that raises your heart rate faster than almost anything.</t>
  </si>
  <si>
    <t xml:space="preserve">Squat down and place your hands on the floor</t>
  </si>
  <si>
    <t xml:space="preserve">Jump or step your feet back and lower your chest to the ground</t>
  </si>
  <si>
    <t xml:space="preserve">Push up, step your feet in, and jump up</t>
  </si>
  <si>
    <t xml:space="preserve">Collapsing at the bottom and losing all core tension.</t>
  </si>
  <si>
    <t xml:space="preserve">Mountain Climber, Jumping Jack, High Knees, Bear Crawl, Jump Squat</t>
  </si>
  <si>
    <t xml:space="preserve">Safe to train close to failure. Stop on sharp or joint pain and swap to Mountain Climber.</t>
  </si>
  <si>
    <t xml:space="preserve">FB04, FB08, FB10, FB09, QD13</t>
  </si>
  <si>
    <t xml:space="preserve">interval</t>
  </si>
  <si>
    <t xml:space="preserve">rounds</t>
  </si>
  <si>
    <t xml:space="preserve">knee, ankle, shoulder</t>
  </si>
  <si>
    <t xml:space="preserve">FB04</t>
  </si>
  <si>
    <t xml:space="preserve">Mountain Climber</t>
  </si>
  <si>
    <t xml:space="preserve">Core, hip flexors, shoulders</t>
  </si>
  <si>
    <t xml:space="preserve">Raises heart rate while loading the core in a plank position. Low skill, apartment friendly and quiet enough for shared housing.</t>
  </si>
  <si>
    <t xml:space="preserve">A moving plank that trains the core and lungs at the same time.</t>
  </si>
  <si>
    <t xml:space="preserve">Start in a push up position with your hips level</t>
  </si>
  <si>
    <t xml:space="preserve">Drive one knee toward your chest, then swap</t>
  </si>
  <si>
    <t xml:space="preserve">Keep the pace steady and the hips low</t>
  </si>
  <si>
    <t xml:space="preserve">Letting the hips bounce up and down with every rep.</t>
  </si>
  <si>
    <t xml:space="preserve">Bear Crawl, High Knees, Jumping Jack, Plank, Burpee</t>
  </si>
  <si>
    <t xml:space="preserve">Safe to train close to failure. Stop on sharp or joint pain and swap to Bear Crawl.</t>
  </si>
  <si>
    <t xml:space="preserve">FB09, FB10, FB08, CO01, FB03</t>
  </si>
  <si>
    <t xml:space="preserve">shoulder, core</t>
  </si>
  <si>
    <t xml:space="preserve">FB08</t>
  </si>
  <si>
    <t xml:space="preserve">Jumping Jack</t>
  </si>
  <si>
    <t xml:space="preserve">Conditioning</t>
  </si>
  <si>
    <t xml:space="preserve">Full Body &amp; Conditioning | Conditioning</t>
  </si>
  <si>
    <t xml:space="preserve">The lowest barrier conditioning movement in the database. Gives a deconditioned user something to do in a circuit when burpees and mountain climbers are too hard.</t>
  </si>
  <si>
    <t xml:space="preserve">A simple low impact way to raise your heart rate and warm the whole body.</t>
  </si>
  <si>
    <t xml:space="preserve">Stand with your feet together and arms at your sides</t>
  </si>
  <si>
    <t xml:space="preserve">Jump your feet out as you raise your arms overhead</t>
  </si>
  <si>
    <t xml:space="preserve">Jump back in and keep a steady rhythm</t>
  </si>
  <si>
    <t xml:space="preserve">Landing heavily on straight legs instead of soft knees.</t>
  </si>
  <si>
    <t xml:space="preserve">High Knees, Mountain Climber, Pogo Hop, Bear Crawl</t>
  </si>
  <si>
    <t xml:space="preserve">Safe to train close to failure. Stop on sharp or joint pain and swap to High Knees.</t>
  </si>
  <si>
    <t xml:space="preserve">FB10, FB04, CA04, FB09</t>
  </si>
  <si>
    <t xml:space="preserve">knee, ankle, hip</t>
  </si>
  <si>
    <t xml:space="preserve">FB09</t>
  </si>
  <si>
    <t xml:space="preserve">Bear Crawl</t>
  </si>
  <si>
    <t xml:space="preserve">Core, shoulders, quads</t>
  </si>
  <si>
    <t xml:space="preserve">Loads the core and shoulders while moving, which no static hold does. Quiet, joint friendly and needs only a few metres of floor.</t>
  </si>
  <si>
    <t xml:space="preserve">A crawl that builds core control, shoulder stability and conditioning in one move.</t>
  </si>
  <si>
    <t xml:space="preserve">Start on hands and toes with your knees just off the floor</t>
  </si>
  <si>
    <t xml:space="preserve">Crawl forward moving the opposite hand and foot together</t>
  </si>
  <si>
    <t xml:space="preserve">Keep your hips low and your back flat</t>
  </si>
  <si>
    <t xml:space="preserve">Lifting the hips high and letting the back sway side to side.</t>
  </si>
  <si>
    <t xml:space="preserve">Mountain Climber, Plank, Burpee, High Knees</t>
  </si>
  <si>
    <t xml:space="preserve">FB04, CO01, FB03, FB10</t>
  </si>
  <si>
    <t xml:space="preserve">shoulder, core, knee</t>
  </si>
  <si>
    <t xml:space="preserve">FB05</t>
  </si>
  <si>
    <t xml:space="preserve">Rowing Machine Interval</t>
  </si>
  <si>
    <t xml:space="preserve">Legs, back, arms</t>
  </si>
  <si>
    <t xml:space="preserve">Rowing erg</t>
  </si>
  <si>
    <t xml:space="preserve">Low impact, full body cardio with objective output in watts. Ideal for users chasing fat loss without joint stress.</t>
  </si>
  <si>
    <t xml:space="preserve">Rowing intervals. High output cardio that spares the knees and works the back.</t>
  </si>
  <si>
    <t xml:space="preserve">Set the damper around 4 or 5 and sit tall</t>
  </si>
  <si>
    <t xml:space="preserve">Drive with the legs, then lean back, then pull with the arms</t>
  </si>
  <si>
    <t xml:space="preserve">Reverse that order on the way in and repeat for the interval</t>
  </si>
  <si>
    <t xml:space="preserve">Yanking with the arms first and letting the legs do nothing.</t>
  </si>
  <si>
    <t xml:space="preserve">Assault Bike or Stationary Bike Interval, High Knees, Jumping Jack, Burpee, Mountain Climber</t>
  </si>
  <si>
    <t xml:space="preserve">Safe to train close to failure. Stop on sharp or joint pain and swap to Assault Bike or Stationary Bike Interval.</t>
  </si>
  <si>
    <t xml:space="preserve">FB06, FB10, FB08, FB03, FB04</t>
  </si>
  <si>
    <t xml:space="preserve">rowing_erg</t>
  </si>
  <si>
    <t xml:space="preserve">FB06</t>
  </si>
  <si>
    <t xml:space="preserve">Assault Bike or Stationary Bike Interval</t>
  </si>
  <si>
    <t xml:space="preserve">Legs, lungs</t>
  </si>
  <si>
    <t xml:space="preserve">Bike</t>
  </si>
  <si>
    <t xml:space="preserve">Self limiting and near impossible to injure yourself on, so intensity can be pushed to true maximum. The safest way to prescribe hard intervals remotely.</t>
  </si>
  <si>
    <t xml:space="preserve">Bike intervals. The lowest skill and lowest impact way to push hard cardio.</t>
  </si>
  <si>
    <t xml:space="preserve">Set the seat so your knee stays slightly bent at the bottom</t>
  </si>
  <si>
    <t xml:space="preserve">Ride easy for the warm up, then push hard for the work interval</t>
  </si>
  <si>
    <t xml:space="preserve">Recover at an easy pace, then repeat</t>
  </si>
  <si>
    <t xml:space="preserve">Going too hard on the first interval and dying on the rest.</t>
  </si>
  <si>
    <t xml:space="preserve">Rowing Machine Interval, High Knees, Jumping Jack, Burpee, Mountain Climber</t>
  </si>
  <si>
    <t xml:space="preserve">Safe to train close to failure. Stop on sharp or joint pain and swap to Rowing Machine Interval.</t>
  </si>
  <si>
    <t xml:space="preserve">FB05, FB10, FB08, FB03, FB04</t>
  </si>
  <si>
    <t xml:space="preserve">stationary_bike</t>
  </si>
  <si>
    <t xml:space="preserve">BK12</t>
  </si>
  <si>
    <t xml:space="preserve">Trap Bar Deadlift</t>
  </si>
  <si>
    <t xml:space="preserve">Erector spinae, lats, glutes, quads, traps</t>
  </si>
  <si>
    <t xml:space="preserve">Trap bar, plates</t>
  </si>
  <si>
    <t xml:space="preserve">The safe entry point to heavy deadlifting. Handles at the sides keep the bar path over the mid foot and make a flat back far easier to hold, so users who are intimidated by the conventional deadlift still get the pattern.</t>
  </si>
  <si>
    <t xml:space="preserve">A deadlift with the handles at your sides. Far easier to keep a flat back than the barbell version.</t>
  </si>
  <si>
    <t xml:space="preserve">Stand inside the bar and grip the handles at your sides</t>
  </si>
  <si>
    <t xml:space="preserve">Push the floor away, chest tall, back flat</t>
  </si>
  <si>
    <t xml:space="preserve">Stand fully upright, then push the hips back to lower</t>
  </si>
  <si>
    <t xml:space="preserve">Letting the hips shoot up first so the back takes the load.</t>
  </si>
  <si>
    <t xml:space="preserve">Conventional Deadlift, Dumbbell Deadlift, Rack Pull, Romanian Deadlift, Cable Pull Through, Goblet Squat</t>
  </si>
  <si>
    <t xml:space="preserve">Free weight compound. Always stop at least one rep short of failure. Swap to Conventional Deadlift if form breaks down.</t>
  </si>
  <si>
    <t xml:space="preserve">BK01, BK13, BK10, HG01, HG08, QD02</t>
  </si>
  <si>
    <t xml:space="preserve">trap_bar,plates</t>
  </si>
  <si>
    <t xml:space="preserve">BK13</t>
  </si>
  <si>
    <t xml:space="preserve">Dumbbell Deadlift</t>
  </si>
  <si>
    <t xml:space="preserve">Erector spinae, glutes, hamstrings, traps</t>
  </si>
  <si>
    <t xml:space="preserve">A beginner friendly hinge with a short range and a light load ceiling. Exists so that no user is ever left without a deadlift option when the barbell version is gated or refused.</t>
  </si>
  <si>
    <t xml:space="preserve">The friendliest way into deadlifting. Same pattern as the barbell, far less to go wrong.</t>
  </si>
  <si>
    <t xml:space="preserve">Stand with a dumbbell outside each foot and hinge down to grip them</t>
  </si>
  <si>
    <t xml:space="preserve">Set your back flat and chest tall, then stand up</t>
  </si>
  <si>
    <t xml:space="preserve">Push your hips back to lower the dumbbells to the floor</t>
  </si>
  <si>
    <t xml:space="preserve">Squatting the weight up instead of hinging at the hips.</t>
  </si>
  <si>
    <t xml:space="preserve">Trap Bar Deadlift, Romanian Deadlift, Rack Pull, Cable Pull Through, Back Extension, Glute Bridge, Prone Superman</t>
  </si>
  <si>
    <t xml:space="preserve">BK12, HG01, BK10, HG08, HG09, HG03, HG12</t>
  </si>
  <si>
    <t xml:space="preserve">BK14</t>
  </si>
  <si>
    <t xml:space="preserve">Band Bent Over Row</t>
  </si>
  <si>
    <t xml:space="preserve">Lats, rhomboids, mid traps, rear delts</t>
  </si>
  <si>
    <t xml:space="preserve">The only loadable horizontal pull available to a user with no bar and no bench. Closes the bodyweight tier row gap left by the inverted row.</t>
  </si>
  <si>
    <t xml:space="preserve">A banded row that covers the horizontal pull when you train at home.</t>
  </si>
  <si>
    <t xml:space="preserve">Anchor the band low or stand on it, then hinge forward with a flat back</t>
  </si>
  <si>
    <t xml:space="preserve">Row your hands to your lower ribs and squeeze the shoulder blades</t>
  </si>
  <si>
    <t xml:space="preserve">Straighten the arms slowly against the band</t>
  </si>
  <si>
    <t xml:space="preserve">Standing upright so the band pulls forward instead of down.</t>
  </si>
  <si>
    <t xml:space="preserve">Inverted Row, Chest Supported Dumbbell Row, Dumbbell Single Arm Row, Seated Cable Row</t>
  </si>
  <si>
    <t xml:space="preserve">Safe to train close to failure. Stop on sharp or joint pain and swap to Inverted Row.</t>
  </si>
  <si>
    <t xml:space="preserve">BK07, BK08, BK03, BK06</t>
  </si>
  <si>
    <t xml:space="preserve">BK15</t>
  </si>
  <si>
    <t xml:space="preserve">Band Assisted Chin Up</t>
  </si>
  <si>
    <t xml:space="preserve">Lats, biceps, mid traps</t>
  </si>
  <si>
    <t xml:space="preserve">Pull up bar, resistance band</t>
  </si>
  <si>
    <t xml:space="preserve">The bridge between a lat pulldown and a full chin up. Gives beginners a scalable vertical pull and a clear progression to track.</t>
  </si>
  <si>
    <t xml:space="preserve">A chin up with a band taking part of your weight. The bridge to a full bodyweight chin up.</t>
  </si>
  <si>
    <t xml:space="preserve">Loop a band over the bar and put one foot or knee in it</t>
  </si>
  <si>
    <t xml:space="preserve">Pull your chest toward the bar, driving your elbows down</t>
  </si>
  <si>
    <t xml:space="preserve">Using such a thick band that the back barely works.</t>
  </si>
  <si>
    <t xml:space="preserve">Lat Pulldown, Chin Up, Band Lat Pulldown, Inverted Row, Straight Arm Pulldown</t>
  </si>
  <si>
    <t xml:space="preserve">BK05, BK04, BK11, BK07, BK09</t>
  </si>
  <si>
    <t xml:space="preserve">pull_up_bar,band</t>
  </si>
  <si>
    <t xml:space="preserve">assisted</t>
  </si>
  <si>
    <t xml:space="preserve">assist_kg</t>
  </si>
  <si>
    <t xml:space="preserve">SH11</t>
  </si>
  <si>
    <t xml:space="preserve">Band Overhead Press</t>
  </si>
  <si>
    <t xml:space="preserve">A loadable overhead press for the bodyweight tier. Replaces the pike push up for users who cannot support their weight on their hands.</t>
  </si>
  <si>
    <t xml:space="preserve">A banded overhead press for training shoulders at home with real tension.</t>
  </si>
  <si>
    <t xml:space="preserve">Stand on the band and hold the ends at shoulder height</t>
  </si>
  <si>
    <t xml:space="preserve">Press straight overhead without letting your ribs flare</t>
  </si>
  <si>
    <t xml:space="preserve">Lower slowly to shoulder height</t>
  </si>
  <si>
    <t xml:space="preserve">Letting the band pull your hands forward at the bottom.</t>
  </si>
  <si>
    <t xml:space="preserve">Seated Dumbbell Shoulder Press, Arnold Press, Pike Push Up, Barbell Overhead Press, Band Lateral Raise</t>
  </si>
  <si>
    <t xml:space="preserve">Safe to train close to failure. Stop on sharp or joint pain and swap to Seated Dumbbell Shoulder Press.</t>
  </si>
  <si>
    <t xml:space="preserve">SH02, SH07, SH08, SH01, SH09</t>
  </si>
  <si>
    <t xml:space="preserve">SH12</t>
  </si>
  <si>
    <t xml:space="preserve">Band Pull Apart</t>
  </si>
  <si>
    <t xml:space="preserve">Rear delt, rhomboids, mid traps</t>
  </si>
  <si>
    <t xml:space="preserve">The cheapest, fastest rear delt exercise there is. Fills the bodyweight rear delt gap and doubles as a warm up set.</t>
  </si>
  <si>
    <t xml:space="preserve">A simple band drill for the rear delts and upper back. Great as a warm up or filler set.</t>
  </si>
  <si>
    <t xml:space="preserve">Hold a band in front of you at shoulder height, arms straight</t>
  </si>
  <si>
    <t xml:space="preserve">Pull your hands apart until the band touches your chest</t>
  </si>
  <si>
    <t xml:space="preserve">Bending the elbows and rowing rather than pulling the band apart.</t>
  </si>
  <si>
    <t xml:space="preserve">Rear Delt Fly, Face Pull, Prone Y-T-W Raise</t>
  </si>
  <si>
    <t xml:space="preserve">SH05, SH06, SH10</t>
  </si>
  <si>
    <t xml:space="preserve">QD14</t>
  </si>
  <si>
    <t xml:space="preserve">Sissy Squat</t>
  </si>
  <si>
    <t xml:space="preserve">Wall or rack for balance</t>
  </si>
  <si>
    <t xml:space="preserve">A bodyweight leg extension. Ensures a quad isolation exists for users with no leg extension machine.</t>
  </si>
  <si>
    <t xml:space="preserve">A bodyweight quad isolation that gives you a leg extension without a machine.</t>
  </si>
  <si>
    <t xml:space="preserve">Kneel or stand on your toes with your body in a straight line</t>
  </si>
  <si>
    <t xml:space="preserve">Bend the knees and lean the body back as one piece</t>
  </si>
  <si>
    <t xml:space="preserve">Pull yourself back up using the quads only</t>
  </si>
  <si>
    <t xml:space="preserve">Bending at the hips, which takes the load off the quads.</t>
  </si>
  <si>
    <t xml:space="preserve">Reverse Nordic Curl, Leg Extension, Wall Sit, Bodyweight Squat</t>
  </si>
  <si>
    <t xml:space="preserve">Safe to train close to failure. Stop on sharp or joint pain and swap to Reverse Nordic Curl.</t>
  </si>
  <si>
    <t xml:space="preserve">QD10, QD07, QD12, QD09</t>
  </si>
  <si>
    <t xml:space="preserve">wall/rack</t>
  </si>
  <si>
    <t xml:space="preserve">HG13</t>
  </si>
  <si>
    <t xml:space="preserve">Lateral Band Walk</t>
  </si>
  <si>
    <t xml:space="preserve">Covers hip abduction without a machine. Directly supports knee health for runners and anyone with a desk heavy day.</t>
  </si>
  <si>
    <t xml:space="preserve">A band walk that fires up the side glutes and warms the hips before leg day.</t>
  </si>
  <si>
    <t xml:space="preserve">Loop a band above your knees and take a quarter squat stance</t>
  </si>
  <si>
    <t xml:space="preserve">Step sideways, keeping tension on the band the whole time</t>
  </si>
  <si>
    <t xml:space="preserve">Take even steps in both directions</t>
  </si>
  <si>
    <t xml:space="preserve">Letting the knees cave in between steps.</t>
  </si>
  <si>
    <t xml:space="preserve">Hip Abduction, Single Leg Glute Bridge, Glute Bridge, Side Plank</t>
  </si>
  <si>
    <t xml:space="preserve">Safe to train close to failure. Stop on sharp or joint pain and swap to Hip Abduction.</t>
  </si>
  <si>
    <t xml:space="preserve">HG10, HG11, HG03, CO07</t>
  </si>
  <si>
    <t xml:space="preserve">HG14</t>
  </si>
  <si>
    <t xml:space="preserve">Slider Hamstring Curl</t>
  </si>
  <si>
    <t xml:space="preserve">Sliders, towel or socks</t>
  </si>
  <si>
    <t xml:space="preserve">A scalable knee flexion exercise for users with no leg curl machine. Sits between the glute bridge and the Nordic curl in difficulty.</t>
  </si>
  <si>
    <t xml:space="preserve">A hamstring curl using sliders, towels or socks. Real hamstring work with no machine.</t>
  </si>
  <si>
    <t xml:space="preserve">Lie on your back with your heels on sliders and hips lifted</t>
  </si>
  <si>
    <t xml:space="preserve">Slide your heels out until your legs are almost straight</t>
  </si>
  <si>
    <t xml:space="preserve">Pull them back in without letting your hips drop</t>
  </si>
  <si>
    <t xml:space="preserve">Letting the hips sag as the legs extend.</t>
  </si>
  <si>
    <t xml:space="preserve">Lying Leg Curl, Seated Leg Curl, Nordic Hamstring Curl, Single Leg Glute Bridge</t>
  </si>
  <si>
    <t xml:space="preserve">HG05, HG04, HG06, HG11</t>
  </si>
  <si>
    <t xml:space="preserve">sliders/towel/smooth_floor</t>
  </si>
  <si>
    <t xml:space="preserve">CO14</t>
  </si>
  <si>
    <t xml:space="preserve">Russian Twist</t>
  </si>
  <si>
    <t xml:space="preserve">Obliques, rectus abdominis</t>
  </si>
  <si>
    <t xml:space="preserve">Optional dumbbell or plate</t>
  </si>
  <si>
    <t xml:space="preserve">The only equipment free rotation exercise in the database. Gives the bodyweight tier a like for like swap for the cable woodchop.</t>
  </si>
  <si>
    <t xml:space="preserve">A seated twist that trains the obliques with no equipment needed.</t>
  </si>
  <si>
    <t xml:space="preserve">Sit with your knees bent and lean your torso back slightly</t>
  </si>
  <si>
    <t xml:space="preserve">Rotate your ribs to one side, then the other</t>
  </si>
  <si>
    <t xml:space="preserve">Keep your chest tall and move slowly</t>
  </si>
  <si>
    <t xml:space="preserve">Whipping side to side with the arms while the torso stays fixed.</t>
  </si>
  <si>
    <t xml:space="preserve">Standing Band Rotation, Cable Woodchop, Side Plank, Pallof Press</t>
  </si>
  <si>
    <t xml:space="preserve">CO10, CO04, CO07, CO05</t>
  </si>
  <si>
    <t xml:space="preserve">dumbbell/plate</t>
  </si>
  <si>
    <t xml:space="preserve">FB10</t>
  </si>
  <si>
    <t xml:space="preserve">High Knees</t>
  </si>
  <si>
    <t xml:space="preserve">Hip flexors, calves, core</t>
  </si>
  <si>
    <t xml:space="preserve">Conditioning that needs a square metre of floor and nothing else. Backs up the jumping jack so no conditioning slot is ever left without a swap.</t>
  </si>
  <si>
    <t xml:space="preserve">A running drill on the spot. Simple conditioning that needs no space or gear.</t>
  </si>
  <si>
    <t xml:space="preserve">Stand tall and run on the spot</t>
  </si>
  <si>
    <t xml:space="preserve">Drive each knee up toward hip height</t>
  </si>
  <si>
    <t xml:space="preserve">Stay on the balls of your feet and pump your arms</t>
  </si>
  <si>
    <t xml:space="preserve">Barely lifting the knees and just jogging on the spot.</t>
  </si>
  <si>
    <t xml:space="preserve">Jumping Jack, Mountain Climber, Bear Crawl, Burpee</t>
  </si>
  <si>
    <t xml:space="preserve">Safe to train close to failure. Stop on sharp or joint pain and swap to Jumping Jack.</t>
  </si>
  <si>
    <t xml:space="preserve">FB08, FB04, FB09, FB03</t>
  </si>
  <si>
    <t xml:space="preserve">FB11</t>
  </si>
  <si>
    <t xml:space="preserve">Dumbbell Swing</t>
  </si>
  <si>
    <t xml:space="preserve">Glutes, hamstrings, erector spinae, delts</t>
  </si>
  <si>
    <t xml:space="preserve">Single dumbbell</t>
  </si>
  <si>
    <t xml:space="preserve">A like for like swap for the kettlebell swing in gyms with no kettlebells, which is most university gyms.</t>
  </si>
  <si>
    <t xml:space="preserve">A dumbbell swing. All the power and conditioning of a kettlebell swing without the kettlebell.</t>
  </si>
  <si>
    <t xml:space="preserve">Hold one dumbbell by the head with both hands</t>
  </si>
  <si>
    <t xml:space="preserve">Hinge and hike it back between your legs</t>
  </si>
  <si>
    <t xml:space="preserve">Snap your hips forward and let it swing to chest height</t>
  </si>
  <si>
    <t xml:space="preserve">Lifting with the shoulders instead of driving the hips.</t>
  </si>
  <si>
    <t xml:space="preserve">Kettlebell Swing, Cable Pull Through, Romanian Deadlift, Jump Squat, Jumping Jack</t>
  </si>
  <si>
    <t xml:space="preserve">FB01, HG08, HG01, QD13, FB08</t>
  </si>
  <si>
    <t xml:space="preserve">FB12</t>
  </si>
  <si>
    <t xml:space="preserve">Treadmill Interval</t>
  </si>
  <si>
    <t xml:space="preserve">Legs, cardiovascular system</t>
  </si>
  <si>
    <t xml:space="preserve">Treadmill</t>
  </si>
  <si>
    <t xml:space="preserve">The most familiar piece of cardio equipment in any gym. Low skill, low impact when walked, scalable to running for fitter users.</t>
  </si>
  <si>
    <t xml:space="preserve">Walk or run intervals on a treadmill to raise your heart rate and build a base of fitness.</t>
  </si>
  <si>
    <t xml:space="preserve">Warm up at an easy walk for 2 to 3 minutes</t>
  </si>
  <si>
    <t xml:space="preserve">Push the pace or incline for the work interval, then ease back to recover</t>
  </si>
  <si>
    <t xml:space="preserve">Repeat the work and recover pattern for the set time, then cool down</t>
  </si>
  <si>
    <t xml:space="preserve">Holding the rails, which takes the work out of it and wrecks your posture.</t>
  </si>
  <si>
    <t xml:space="preserve">Stationary Bike Interval, Stairmaster Interval, Rowing Machine Interval, High Knees, Jumping Jack</t>
  </si>
  <si>
    <t xml:space="preserve">Low impact when walked. Progress to running only when comfortable. Stop on any chest pain, dizziness or unusual breathlessness (S06).</t>
  </si>
  <si>
    <t xml:space="preserve">FB06, FB13, FB05, FB10, FB08</t>
  </si>
  <si>
    <t xml:space="preserve">treadmill</t>
  </si>
  <si>
    <t xml:space="preserve">FB13</t>
  </si>
  <si>
    <t xml:space="preserve">Stairmaster Interval</t>
  </si>
  <si>
    <t xml:space="preserve">Legs, glutes, cardiovascular system</t>
  </si>
  <si>
    <t xml:space="preserve">Stair climber machine</t>
  </si>
  <si>
    <t xml:space="preserve">Hard cardio that also loads the glutes and quads, with far less joint impact than running. A gym staple.</t>
  </si>
  <si>
    <t xml:space="preserve">Climb a moving staircase at a steady or interval pace to build fitness and leg endurance.</t>
  </si>
  <si>
    <t xml:space="preserve">Start at an easy pace and stand tall, weight through your whole foot</t>
  </si>
  <si>
    <t xml:space="preserve">Raise the level for the work interval, then drop it back to recover</t>
  </si>
  <si>
    <t xml:space="preserve">Keep an upright posture the whole time and repeat for the set duration</t>
  </si>
  <si>
    <t xml:space="preserve">Leaning your bodyweight onto the handrails so your legs barely work.</t>
  </si>
  <si>
    <t xml:space="preserve">Treadmill Interval, Stationary Bike Interval, Rowing Machine Interval, High Knees, Walking Lunge</t>
  </si>
  <si>
    <t xml:space="preserve">Low impact but demanding. Keep an upright posture and do not hang on the rails. Stop on chest pain, dizziness or breathlessness (S06).</t>
  </si>
  <si>
    <t xml:space="preserve">FB12, FB06, FB05, FB10, QD04</t>
  </si>
  <si>
    <t xml:space="preserve">stairmaster</t>
  </si>
  <si>
    <t xml:space="preserve">FB14</t>
  </si>
  <si>
    <t xml:space="preserve">Stationary Bike Steady</t>
  </si>
  <si>
    <t xml:space="preserve">Stationary bike</t>
  </si>
  <si>
    <t xml:space="preserve">The lowest impact and lowest skill cardio there is. Ideal for recovery days, deloads, exam-period minimal movement, and anyone with knee or ankle limits.</t>
  </si>
  <si>
    <t xml:space="preserve">A steady, low impact ride to build aerobic fitness or keep moving on an easy day.</t>
  </si>
  <si>
    <t xml:space="preserve">Set the seat so your knee stays slightly bent at the bottom of the pedal stroke</t>
  </si>
  <si>
    <t xml:space="preserve">Ride at a conversational pace you could hold for the whole session</t>
  </si>
  <si>
    <t xml:space="preserve">Keep a smooth, even cadence and relax your upper body</t>
  </si>
  <si>
    <t xml:space="preserve">Setting the seat too low, which cramps the knees over a long ride.</t>
  </si>
  <si>
    <t xml:space="preserve">Stationary Bike Interval, Treadmill Interval, Rowing Machine Interval, Stairmaster Interval</t>
  </si>
  <si>
    <t xml:space="preserve">The gentlest cardio option, safe for most limitations. Still stop on chest pain, dizziness or breathlessness (S06).</t>
  </si>
  <si>
    <t xml:space="preserve">FB06, FB12, FB05, FB13</t>
  </si>
  <si>
    <t xml:space="preserve">Normalized substitution collection. One row per pair, ID based so renames never break it. Key = exercise_id-substitute_id, use as the Firestore document ID. Priority 1 is the best swap. The generator walks priority order and returns the FIRST substitute compatible with the user's skill level, equipment, restrictions and exclusion history. It never assumes priority 1 is valid.</t>
  </si>
  <si>
    <t xml:space="preserve">key</t>
  </si>
  <si>
    <t xml:space="preserve">exercise_id</t>
  </si>
  <si>
    <t xml:space="preserve">substitute_id</t>
  </si>
  <si>
    <t xml:space="preserve">priority</t>
  </si>
  <si>
    <t xml:space="preserve">match_type</t>
  </si>
  <si>
    <t xml:space="preserve">CH01-CH02</t>
  </si>
  <si>
    <t xml:space="preserve">like_for_like</t>
  </si>
  <si>
    <t xml:space="preserve">CH01-CH05</t>
  </si>
  <si>
    <t xml:space="preserve">CH01-CH09</t>
  </si>
  <si>
    <t xml:space="preserve">CH01-CH03</t>
  </si>
  <si>
    <t xml:space="preserve">CH01-TR01</t>
  </si>
  <si>
    <t xml:space="preserve">same_muscle_group</t>
  </si>
  <si>
    <t xml:space="preserve">CH01-CH10</t>
  </si>
  <si>
    <t xml:space="preserve">CH01-CH12</t>
  </si>
  <si>
    <t xml:space="preserve">CH01-CH04</t>
  </si>
  <si>
    <t xml:space="preserve">CH01-CH11</t>
  </si>
  <si>
    <t xml:space="preserve">CH01-CH07</t>
  </si>
  <si>
    <t xml:space="preserve">CH02-CH05</t>
  </si>
  <si>
    <t xml:space="preserve">CH02-CH01</t>
  </si>
  <si>
    <t xml:space="preserve">CH02-CH03</t>
  </si>
  <si>
    <t xml:space="preserve">CH02-CH12</t>
  </si>
  <si>
    <t xml:space="preserve">CH02-CH04</t>
  </si>
  <si>
    <t xml:space="preserve">CH02-CH11</t>
  </si>
  <si>
    <t xml:space="preserve">CH02-CH07</t>
  </si>
  <si>
    <t xml:space="preserve">CH02-CH06</t>
  </si>
  <si>
    <t xml:space="preserve">CH03-CH09</t>
  </si>
  <si>
    <t xml:space="preserve">CH03-CH02</t>
  </si>
  <si>
    <t xml:space="preserve">CH03-CH05</t>
  </si>
  <si>
    <t xml:space="preserve">CH03-CH01</t>
  </si>
  <si>
    <t xml:space="preserve">CH03-CH12</t>
  </si>
  <si>
    <t xml:space="preserve">CH03-CH04</t>
  </si>
  <si>
    <t xml:space="preserve">CH03-CH11</t>
  </si>
  <si>
    <t xml:space="preserve">CH03-CH06</t>
  </si>
  <si>
    <t xml:space="preserve">CH04-CH11</t>
  </si>
  <si>
    <t xml:space="preserve">CH04-CH12</t>
  </si>
  <si>
    <t xml:space="preserve">CH04-CH05</t>
  </si>
  <si>
    <t xml:space="preserve">CH04-CH02</t>
  </si>
  <si>
    <t xml:space="preserve">CH04-CH01</t>
  </si>
  <si>
    <t xml:space="preserve">CH04-TR06</t>
  </si>
  <si>
    <t xml:space="preserve">CH04-CH07</t>
  </si>
  <si>
    <t xml:space="preserve">CH05-CH02</t>
  </si>
  <si>
    <t xml:space="preserve">CH05-CH01</t>
  </si>
  <si>
    <t xml:space="preserve">CH05-CH03</t>
  </si>
  <si>
    <t xml:space="preserve">CH05-CH04</t>
  </si>
  <si>
    <t xml:space="preserve">CH05-CH11</t>
  </si>
  <si>
    <t xml:space="preserve">CH05-CH06</t>
  </si>
  <si>
    <t xml:space="preserve">CH06-CH07</t>
  </si>
  <si>
    <t xml:space="preserve">CH06-CH05</t>
  </si>
  <si>
    <t xml:space="preserve">CH06-CH02</t>
  </si>
  <si>
    <t xml:space="preserve">CH06-CH04</t>
  </si>
  <si>
    <t xml:space="preserve">CH06-CH11</t>
  </si>
  <si>
    <t xml:space="preserve">CH07-CH06</t>
  </si>
  <si>
    <t xml:space="preserve">CH07-CH05</t>
  </si>
  <si>
    <t xml:space="preserve">CH07-CH02</t>
  </si>
  <si>
    <t xml:space="preserve">CH07-CH04</t>
  </si>
  <si>
    <t xml:space="preserve">CH07-CH11</t>
  </si>
  <si>
    <t xml:space="preserve">CH08-CH12</t>
  </si>
  <si>
    <t xml:space="preserve">CH08-CH02</t>
  </si>
  <si>
    <t xml:space="preserve">CH08-CH05</t>
  </si>
  <si>
    <t xml:space="preserve">CH08-CH10</t>
  </si>
  <si>
    <t xml:space="preserve">CH08-CH04</t>
  </si>
  <si>
    <t xml:space="preserve">CH08-TR05</t>
  </si>
  <si>
    <t xml:space="preserve">CH08-CH11</t>
  </si>
  <si>
    <t xml:space="preserve">CH09-CH03</t>
  </si>
  <si>
    <t xml:space="preserve">CH09-CH01</t>
  </si>
  <si>
    <t xml:space="preserve">CH09-CH02</t>
  </si>
  <si>
    <t xml:space="preserve">CH09-CH05</t>
  </si>
  <si>
    <t xml:space="preserve">CH09-CH04</t>
  </si>
  <si>
    <t xml:space="preserve">CH09-CH11</t>
  </si>
  <si>
    <t xml:space="preserve">CH10-CH01</t>
  </si>
  <si>
    <t xml:space="preserve">CH10-CH02</t>
  </si>
  <si>
    <t xml:space="preserve">CH10-CH08</t>
  </si>
  <si>
    <t xml:space="preserve">CH10-CH05</t>
  </si>
  <si>
    <t xml:space="preserve">CH10-CH12</t>
  </si>
  <si>
    <t xml:space="preserve">CH10-CH04</t>
  </si>
  <si>
    <t xml:space="preserve">CH11-CH04</t>
  </si>
  <si>
    <t xml:space="preserve">CH11-CH05</t>
  </si>
  <si>
    <t xml:space="preserve">CH11-CH02</t>
  </si>
  <si>
    <t xml:space="preserve">CH11-CH12</t>
  </si>
  <si>
    <t xml:space="preserve">CH11-CH07</t>
  </si>
  <si>
    <t xml:space="preserve">CH12-CH04</t>
  </si>
  <si>
    <t xml:space="preserve">CH12-CH11</t>
  </si>
  <si>
    <t xml:space="preserve">CH12-CH08</t>
  </si>
  <si>
    <t xml:space="preserve">CH12-CH02</t>
  </si>
  <si>
    <t xml:space="preserve">CH12-CH05</t>
  </si>
  <si>
    <t xml:space="preserve">BK01-BK12</t>
  </si>
  <si>
    <t xml:space="preserve">BK01-BK10</t>
  </si>
  <si>
    <t xml:space="preserve">BK01-BK13</t>
  </si>
  <si>
    <t xml:space="preserve">BK01-HG01</t>
  </si>
  <si>
    <t xml:space="preserve">BK01-HG08</t>
  </si>
  <si>
    <t xml:space="preserve">BK01-HG02</t>
  </si>
  <si>
    <t xml:space="preserve">BK01-HG09</t>
  </si>
  <si>
    <t xml:space="preserve">BK01-HG07</t>
  </si>
  <si>
    <t xml:space="preserve">BK01-HG12</t>
  </si>
  <si>
    <t xml:space="preserve">BK02-BK08</t>
  </si>
  <si>
    <t xml:space="preserve">BK02-BK03</t>
  </si>
  <si>
    <t xml:space="preserve">BK02-BK06</t>
  </si>
  <si>
    <t xml:space="preserve">BK02-BK07</t>
  </si>
  <si>
    <t xml:space="preserve">BK02-BK14</t>
  </si>
  <si>
    <t xml:space="preserve">BK02-BK05</t>
  </si>
  <si>
    <t xml:space="preserve">BK03-BK08</t>
  </si>
  <si>
    <t xml:space="preserve">BK03-BK06</t>
  </si>
  <si>
    <t xml:space="preserve">BK03-BK02</t>
  </si>
  <si>
    <t xml:space="preserve">BK03-BK07</t>
  </si>
  <si>
    <t xml:space="preserve">BK03-BK14</t>
  </si>
  <si>
    <t xml:space="preserve">BK04-BK05</t>
  </si>
  <si>
    <t xml:space="preserve">BK04-BK15</t>
  </si>
  <si>
    <t xml:space="preserve">BK04-BK11</t>
  </si>
  <si>
    <t xml:space="preserve">BK04-BK07</t>
  </si>
  <si>
    <t xml:space="preserve">BK04-BK06</t>
  </si>
  <si>
    <t xml:space="preserve">BK04-BK08</t>
  </si>
  <si>
    <t xml:space="preserve">BK05-BK04</t>
  </si>
  <si>
    <t xml:space="preserve">BK05-BK15</t>
  </si>
  <si>
    <t xml:space="preserve">BK05-BK11</t>
  </si>
  <si>
    <t xml:space="preserve">BK05-BK09</t>
  </si>
  <si>
    <t xml:space="preserve">BK05-BK06</t>
  </si>
  <si>
    <t xml:space="preserve">BK05-BK08</t>
  </si>
  <si>
    <t xml:space="preserve">BK06-BK08</t>
  </si>
  <si>
    <t xml:space="preserve">BK06-BK03</t>
  </si>
  <si>
    <t xml:space="preserve">BK06-BK02</t>
  </si>
  <si>
    <t xml:space="preserve">BK06-BK07</t>
  </si>
  <si>
    <t xml:space="preserve">BK06-BK14</t>
  </si>
  <si>
    <t xml:space="preserve">BK07-BK14</t>
  </si>
  <si>
    <t xml:space="preserve">BK07-BK08</t>
  </si>
  <si>
    <t xml:space="preserve">BK07-BK03</t>
  </si>
  <si>
    <t xml:space="preserve">BK07-BK06</t>
  </si>
  <si>
    <t xml:space="preserve">BK07-BI07</t>
  </si>
  <si>
    <t xml:space="preserve">BK08-BK03</t>
  </si>
  <si>
    <t xml:space="preserve">BK08-BK06</t>
  </si>
  <si>
    <t xml:space="preserve">BK08-BK07</t>
  </si>
  <si>
    <t xml:space="preserve">BK08-BK14</t>
  </si>
  <si>
    <t xml:space="preserve">BK08-BK02</t>
  </si>
  <si>
    <t xml:space="preserve">BK09-BK11</t>
  </si>
  <si>
    <t xml:space="preserve">BK09-BK05</t>
  </si>
  <si>
    <t xml:space="preserve">BK09-BK08</t>
  </si>
  <si>
    <t xml:space="preserve">BK09-BK06</t>
  </si>
  <si>
    <t xml:space="preserve">BK10-BK12</t>
  </si>
  <si>
    <t xml:space="preserve">BK10-BK01</t>
  </si>
  <si>
    <t xml:space="preserve">BK10-HG01</t>
  </si>
  <si>
    <t xml:space="preserve">BK10-BK13</t>
  </si>
  <si>
    <t xml:space="preserve">BK10-HG09</t>
  </si>
  <si>
    <t xml:space="preserve">BK10-HG08</t>
  </si>
  <si>
    <t xml:space="preserve">BK11-BK05</t>
  </si>
  <si>
    <t xml:space="preserve">BK11-BK15</t>
  </si>
  <si>
    <t xml:space="preserve">BK11-BK09</t>
  </si>
  <si>
    <t xml:space="preserve">BK11-BK07</t>
  </si>
  <si>
    <t xml:space="preserve">BK11-BK14</t>
  </si>
  <si>
    <t xml:space="preserve">SH01-SH02</t>
  </si>
  <si>
    <t xml:space="preserve">SH01-SH07</t>
  </si>
  <si>
    <t xml:space="preserve">SH01-SH11</t>
  </si>
  <si>
    <t xml:space="preserve">SH01-SH08</t>
  </si>
  <si>
    <t xml:space="preserve">SH01-SH03</t>
  </si>
  <si>
    <t xml:space="preserve">SH02-SH07</t>
  </si>
  <si>
    <t xml:space="preserve">SH02-SH01</t>
  </si>
  <si>
    <t xml:space="preserve">SH02-SH11</t>
  </si>
  <si>
    <t xml:space="preserve">SH02-SH08</t>
  </si>
  <si>
    <t xml:space="preserve">SH02-SH03</t>
  </si>
  <si>
    <t xml:space="preserve">SH03-SH04</t>
  </si>
  <si>
    <t xml:space="preserve">SH03-SH09</t>
  </si>
  <si>
    <t xml:space="preserve">SH03-SH02</t>
  </si>
  <si>
    <t xml:space="preserve">SH03-SH11</t>
  </si>
  <si>
    <t xml:space="preserve">SH04-SH03</t>
  </si>
  <si>
    <t xml:space="preserve">SH04-SH09</t>
  </si>
  <si>
    <t xml:space="preserve">SH04-SH07</t>
  </si>
  <si>
    <t xml:space="preserve">SH04-SH08</t>
  </si>
  <si>
    <t xml:space="preserve">SH05-SH12</t>
  </si>
  <si>
    <t xml:space="preserve">SH05-SH06</t>
  </si>
  <si>
    <t xml:space="preserve">SH05-SH10</t>
  </si>
  <si>
    <t xml:space="preserve">SH06-SH05</t>
  </si>
  <si>
    <t xml:space="preserve">SH06-SH12</t>
  </si>
  <si>
    <t xml:space="preserve">SH06-SH10</t>
  </si>
  <si>
    <t xml:space="preserve">SH07-SH02</t>
  </si>
  <si>
    <t xml:space="preserve">SH07-SH01</t>
  </si>
  <si>
    <t xml:space="preserve">SH07-SH11</t>
  </si>
  <si>
    <t xml:space="preserve">SH07-SH08</t>
  </si>
  <si>
    <t xml:space="preserve">SH07-SH03</t>
  </si>
  <si>
    <t xml:space="preserve">SH08-SH11</t>
  </si>
  <si>
    <t xml:space="preserve">SH08-SH02</t>
  </si>
  <si>
    <t xml:space="preserve">SH08-SH07</t>
  </si>
  <si>
    <t xml:space="preserve">SH08-SH01</t>
  </si>
  <si>
    <t xml:space="preserve">SH08-SH09</t>
  </si>
  <si>
    <t xml:space="preserve">SH09-SH03</t>
  </si>
  <si>
    <t xml:space="preserve">SH09-SH04</t>
  </si>
  <si>
    <t xml:space="preserve">SH09-SH12</t>
  </si>
  <si>
    <t xml:space="preserve">SH09-SH08</t>
  </si>
  <si>
    <t xml:space="preserve">SH10-SH12</t>
  </si>
  <si>
    <t xml:space="preserve">SH10-SH05</t>
  </si>
  <si>
    <t xml:space="preserve">SH10-SH06</t>
  </si>
  <si>
    <t xml:space="preserve">QD01-QD06</t>
  </si>
  <si>
    <t xml:space="preserve">QD01-QD05</t>
  </si>
  <si>
    <t xml:space="preserve">QD01-QD02</t>
  </si>
  <si>
    <t xml:space="preserve">QD01-QD03</t>
  </si>
  <si>
    <t xml:space="preserve">QD01-QD11</t>
  </si>
  <si>
    <t xml:space="preserve">QD01-QD09</t>
  </si>
  <si>
    <t xml:space="preserve">QD01-QD08</t>
  </si>
  <si>
    <t xml:space="preserve">QD01-QD12</t>
  </si>
  <si>
    <t xml:space="preserve">QD02-QD01</t>
  </si>
  <si>
    <t xml:space="preserve">QD02-QD05</t>
  </si>
  <si>
    <t xml:space="preserve">QD02-QD09</t>
  </si>
  <si>
    <t xml:space="preserve">QD02-QD11</t>
  </si>
  <si>
    <t xml:space="preserve">QD02-QD08</t>
  </si>
  <si>
    <t xml:space="preserve">QD02-QD12</t>
  </si>
  <si>
    <t xml:space="preserve">QD03-QD11</t>
  </si>
  <si>
    <t xml:space="preserve">QD03-QD04</t>
  </si>
  <si>
    <t xml:space="preserve">QD03-QD08</t>
  </si>
  <si>
    <t xml:space="preserve">QD03-QD02</t>
  </si>
  <si>
    <t xml:space="preserve">QD03-QD05</t>
  </si>
  <si>
    <t xml:space="preserve">QD04-QD11</t>
  </si>
  <si>
    <t xml:space="preserve">QD04-QD08</t>
  </si>
  <si>
    <t xml:space="preserve">QD04-QD03</t>
  </si>
  <si>
    <t xml:space="preserve">QD04-QD09</t>
  </si>
  <si>
    <t xml:space="preserve">QD04-QD02</t>
  </si>
  <si>
    <t xml:space="preserve">QD05-QD01</t>
  </si>
  <si>
    <t xml:space="preserve">QD05-QD02</t>
  </si>
  <si>
    <t xml:space="preserve">QD05-QD03</t>
  </si>
  <si>
    <t xml:space="preserve">QD05-QD09</t>
  </si>
  <si>
    <t xml:space="preserve">QD05-QD12</t>
  </si>
  <si>
    <t xml:space="preserve">QD06-QD02</t>
  </si>
  <si>
    <t xml:space="preserve">QD06-QD01</t>
  </si>
  <si>
    <t xml:space="preserve">QD06-QD05</t>
  </si>
  <si>
    <t xml:space="preserve">QD06-QD03</t>
  </si>
  <si>
    <t xml:space="preserve">QD06-QD09</t>
  </si>
  <si>
    <t xml:space="preserve">QD07-QD14</t>
  </si>
  <si>
    <t xml:space="preserve">QD07-QD10</t>
  </si>
  <si>
    <t xml:space="preserve">QD07-QD05</t>
  </si>
  <si>
    <t xml:space="preserve">QD07-QD09</t>
  </si>
  <si>
    <t xml:space="preserve">QD07-QD12</t>
  </si>
  <si>
    <t xml:space="preserve">QD08-QD11</t>
  </si>
  <si>
    <t xml:space="preserve">QD08-QD04</t>
  </si>
  <si>
    <t xml:space="preserve">QD08-QD03</t>
  </si>
  <si>
    <t xml:space="preserve">QD08-QD09</t>
  </si>
  <si>
    <t xml:space="preserve">QD09-QD02</t>
  </si>
  <si>
    <t xml:space="preserve">QD09-QD11</t>
  </si>
  <si>
    <t xml:space="preserve">QD09-QD12</t>
  </si>
  <si>
    <t xml:space="preserve">QD09-QD05</t>
  </si>
  <si>
    <t xml:space="preserve">QD09-QD08</t>
  </si>
  <si>
    <t xml:space="preserve">QD10-QD14</t>
  </si>
  <si>
    <t xml:space="preserve">QD10-QD07</t>
  </si>
  <si>
    <t xml:space="preserve">QD10-QD12</t>
  </si>
  <si>
    <t xml:space="preserve">QD10-QD09</t>
  </si>
  <si>
    <t xml:space="preserve">QD11-QD04</t>
  </si>
  <si>
    <t xml:space="preserve">QD11-QD08</t>
  </si>
  <si>
    <t xml:space="preserve">QD11-QD03</t>
  </si>
  <si>
    <t xml:space="preserve">QD11-QD09</t>
  </si>
  <si>
    <t xml:space="preserve">QD12-QD09</t>
  </si>
  <si>
    <t xml:space="preserve">QD12-QD02</t>
  </si>
  <si>
    <t xml:space="preserve">QD12-QD05</t>
  </si>
  <si>
    <t xml:space="preserve">QD12-QD11</t>
  </si>
  <si>
    <t xml:space="preserve">QD13-QD09</t>
  </si>
  <si>
    <t xml:space="preserve">QD13-QD02</t>
  </si>
  <si>
    <t xml:space="preserve">QD13-QD04</t>
  </si>
  <si>
    <t xml:space="preserve">QD13-QD08</t>
  </si>
  <si>
    <t xml:space="preserve">HG01-HG07</t>
  </si>
  <si>
    <t xml:space="preserve">HG01-HG08</t>
  </si>
  <si>
    <t xml:space="preserve">HG01-BK13</t>
  </si>
  <si>
    <t xml:space="preserve">HG01-HG09</t>
  </si>
  <si>
    <t xml:space="preserve">HG01-HG02</t>
  </si>
  <si>
    <t xml:space="preserve">HG01-HG03</t>
  </si>
  <si>
    <t xml:space="preserve">HG01-HG12</t>
  </si>
  <si>
    <t xml:space="preserve">HG02-HG03</t>
  </si>
  <si>
    <t xml:space="preserve">HG02-HG11</t>
  </si>
  <si>
    <t xml:space="preserve">HG02-HG08</t>
  </si>
  <si>
    <t xml:space="preserve">HG02-HG01</t>
  </si>
  <si>
    <t xml:space="preserve">HG02-HG09</t>
  </si>
  <si>
    <t xml:space="preserve">HG03-HG02</t>
  </si>
  <si>
    <t xml:space="preserve">HG03-HG11</t>
  </si>
  <si>
    <t xml:space="preserve">HG03-HG08</t>
  </si>
  <si>
    <t xml:space="preserve">HG03-HG09</t>
  </si>
  <si>
    <t xml:space="preserve">HG03-HG12</t>
  </si>
  <si>
    <t xml:space="preserve">HG04-HG05</t>
  </si>
  <si>
    <t xml:space="preserve">HG04-HG14</t>
  </si>
  <si>
    <t xml:space="preserve">HG04-HG06</t>
  </si>
  <si>
    <t xml:space="preserve">HG04-HG01</t>
  </si>
  <si>
    <t xml:space="preserve">HG04-HG07</t>
  </si>
  <si>
    <t xml:space="preserve">HG05-HG04</t>
  </si>
  <si>
    <t xml:space="preserve">HG05-HG14</t>
  </si>
  <si>
    <t xml:space="preserve">HG05-HG06</t>
  </si>
  <si>
    <t xml:space="preserve">HG05-HG01</t>
  </si>
  <si>
    <t xml:space="preserve">HG06-HG14</t>
  </si>
  <si>
    <t xml:space="preserve">HG06-HG05</t>
  </si>
  <si>
    <t xml:space="preserve">HG06-HG04</t>
  </si>
  <si>
    <t xml:space="preserve">HG06-HG07</t>
  </si>
  <si>
    <t xml:space="preserve">HG06-HG01</t>
  </si>
  <si>
    <t xml:space="preserve">HG07-HG01</t>
  </si>
  <si>
    <t xml:space="preserve">HG07-HG08</t>
  </si>
  <si>
    <t xml:space="preserve">HG07-HG09</t>
  </si>
  <si>
    <t xml:space="preserve">HG07-HG11</t>
  </si>
  <si>
    <t xml:space="preserve">HG07-HG12</t>
  </si>
  <si>
    <t xml:space="preserve">HG08-HG01</t>
  </si>
  <si>
    <t xml:space="preserve">HG08-HG02</t>
  </si>
  <si>
    <t xml:space="preserve">HG08-HG03</t>
  </si>
  <si>
    <t xml:space="preserve">HG08-HG09</t>
  </si>
  <si>
    <t xml:space="preserve">HG08-HG12</t>
  </si>
  <si>
    <t xml:space="preserve">HG09-HG12</t>
  </si>
  <si>
    <t xml:space="preserve">HG09-HG01</t>
  </si>
  <si>
    <t xml:space="preserve">HG09-HG08</t>
  </si>
  <si>
    <t xml:space="preserve">HG09-HG03</t>
  </si>
  <si>
    <t xml:space="preserve">HG10-HG13</t>
  </si>
  <si>
    <t xml:space="preserve">HG10-HG11</t>
  </si>
  <si>
    <t xml:space="preserve">HG10-HG03</t>
  </si>
  <si>
    <t xml:space="preserve">HG10-CO07</t>
  </si>
  <si>
    <t xml:space="preserve">HG11-HG03</t>
  </si>
  <si>
    <t xml:space="preserve">HG11-HG02</t>
  </si>
  <si>
    <t xml:space="preserve">HG11-HG08</t>
  </si>
  <si>
    <t xml:space="preserve">HG11-HG09</t>
  </si>
  <si>
    <t xml:space="preserve">HG12-HG09</t>
  </si>
  <si>
    <t xml:space="preserve">HG12-HG03</t>
  </si>
  <si>
    <t xml:space="preserve">HG12-HG11</t>
  </si>
  <si>
    <t xml:space="preserve">HG12-HG01</t>
  </si>
  <si>
    <t xml:space="preserve">BI01-BI04</t>
  </si>
  <si>
    <t xml:space="preserve">BI01-BI02</t>
  </si>
  <si>
    <t xml:space="preserve">BI01-BI03</t>
  </si>
  <si>
    <t xml:space="preserve">BI01-BI06</t>
  </si>
  <si>
    <t xml:space="preserve">BI01-BI05</t>
  </si>
  <si>
    <t xml:space="preserve">BI01-BI07</t>
  </si>
  <si>
    <t xml:space="preserve">BI02-BI01</t>
  </si>
  <si>
    <t xml:space="preserve">BI02-BI04</t>
  </si>
  <si>
    <t xml:space="preserve">BI02-BI03</t>
  </si>
  <si>
    <t xml:space="preserve">BI02-BI06</t>
  </si>
  <si>
    <t xml:space="preserve">BI03-BI01</t>
  </si>
  <si>
    <t xml:space="preserve">BI03-BI04</t>
  </si>
  <si>
    <t xml:space="preserve">BI03-BI02</t>
  </si>
  <si>
    <t xml:space="preserve">BI03-BI06</t>
  </si>
  <si>
    <t xml:space="preserve">BI04-BI01</t>
  </si>
  <si>
    <t xml:space="preserve">BI04-BI02</t>
  </si>
  <si>
    <t xml:space="preserve">BI04-BI03</t>
  </si>
  <si>
    <t xml:space="preserve">BI04-BI06</t>
  </si>
  <si>
    <t xml:space="preserve">BI05-BI07</t>
  </si>
  <si>
    <t xml:space="preserve">BI05-BK15</t>
  </si>
  <si>
    <t xml:space="preserve">BI05-BI01</t>
  </si>
  <si>
    <t xml:space="preserve">BI05-BI04</t>
  </si>
  <si>
    <t xml:space="preserve">BI05-BI03</t>
  </si>
  <si>
    <t xml:space="preserve">BI06-BI03</t>
  </si>
  <si>
    <t xml:space="preserve">BI06-BI01</t>
  </si>
  <si>
    <t xml:space="preserve">BI06-BI04</t>
  </si>
  <si>
    <t xml:space="preserve">BI06-BI07</t>
  </si>
  <si>
    <t xml:space="preserve">BI07-BK15</t>
  </si>
  <si>
    <t xml:space="preserve">BI07-BI05</t>
  </si>
  <si>
    <t xml:space="preserve">BI07-BI06</t>
  </si>
  <si>
    <t xml:space="preserve">BI07-BI03</t>
  </si>
  <si>
    <t xml:space="preserve">BI07-BI01</t>
  </si>
  <si>
    <t xml:space="preserve">TR01-TR04</t>
  </si>
  <si>
    <t xml:space="preserve">TR01-TR03</t>
  </si>
  <si>
    <t xml:space="preserve">TR01-TR02</t>
  </si>
  <si>
    <t xml:space="preserve">TR01-TR06</t>
  </si>
  <si>
    <t xml:space="preserve">TR01-TR05</t>
  </si>
  <si>
    <t xml:space="preserve">TR01-TR07</t>
  </si>
  <si>
    <t xml:space="preserve">TR02-TR04</t>
  </si>
  <si>
    <t xml:space="preserve">TR02-TR03</t>
  </si>
  <si>
    <t xml:space="preserve">TR02-TR07</t>
  </si>
  <si>
    <t xml:space="preserve">TR02-TR01</t>
  </si>
  <si>
    <t xml:space="preserve">TR02-TR06</t>
  </si>
  <si>
    <t xml:space="preserve">TR03-TR07</t>
  </si>
  <si>
    <t xml:space="preserve">TR03-TR02</t>
  </si>
  <si>
    <t xml:space="preserve">TR03-TR04</t>
  </si>
  <si>
    <t xml:space="preserve">TR03-TR06</t>
  </si>
  <si>
    <t xml:space="preserve">TR03-TR05</t>
  </si>
  <si>
    <t xml:space="preserve">TR04-TR02</t>
  </si>
  <si>
    <t xml:space="preserve">TR04-TR03</t>
  </si>
  <si>
    <t xml:space="preserve">TR04-TR07</t>
  </si>
  <si>
    <t xml:space="preserve">TR04-TR01</t>
  </si>
  <si>
    <t xml:space="preserve">TR04-TR06</t>
  </si>
  <si>
    <t xml:space="preserve">TR05-TR06</t>
  </si>
  <si>
    <t xml:space="preserve">TR05-TR03</t>
  </si>
  <si>
    <t xml:space="preserve">TR05-TR07</t>
  </si>
  <si>
    <t xml:space="preserve">TR05-TR01</t>
  </si>
  <si>
    <t xml:space="preserve">TR06-TR05</t>
  </si>
  <si>
    <t xml:space="preserve">TR06-TR07</t>
  </si>
  <si>
    <t xml:space="preserve">TR06-TR03</t>
  </si>
  <si>
    <t xml:space="preserve">TR06-TR01</t>
  </si>
  <si>
    <t xml:space="preserve">TR07-TR03</t>
  </si>
  <si>
    <t xml:space="preserve">TR07-TR02</t>
  </si>
  <si>
    <t xml:space="preserve">TR07-TR06</t>
  </si>
  <si>
    <t xml:space="preserve">TR07-TR05</t>
  </si>
  <si>
    <t xml:space="preserve">CO01-CO02</t>
  </si>
  <si>
    <t xml:space="preserve">CO01-CO11</t>
  </si>
  <si>
    <t xml:space="preserve">CO01-CO12</t>
  </si>
  <si>
    <t xml:space="preserve">CO01-CO06</t>
  </si>
  <si>
    <t xml:space="preserve">CO01-CO09</t>
  </si>
  <si>
    <t xml:space="preserve">CO02-CO01</t>
  </si>
  <si>
    <t xml:space="preserve">CO02-CO12</t>
  </si>
  <si>
    <t xml:space="preserve">CO02-CO09</t>
  </si>
  <si>
    <t xml:space="preserve">CO02-CO11</t>
  </si>
  <si>
    <t xml:space="preserve">CO03-CO09</t>
  </si>
  <si>
    <t xml:space="preserve">CO03-CO11</t>
  </si>
  <si>
    <t xml:space="preserve">CO03-CO08</t>
  </si>
  <si>
    <t xml:space="preserve">CO03-CO02</t>
  </si>
  <si>
    <t xml:space="preserve">CO03-CO01</t>
  </si>
  <si>
    <t xml:space="preserve">CO04-CO10</t>
  </si>
  <si>
    <t xml:space="preserve">CO04-CO14</t>
  </si>
  <si>
    <t xml:space="preserve">CO04-CO05</t>
  </si>
  <si>
    <t xml:space="preserve">CO04-CO07</t>
  </si>
  <si>
    <t xml:space="preserve">CO05-CO10</t>
  </si>
  <si>
    <t xml:space="preserve">CO05-CO12</t>
  </si>
  <si>
    <t xml:space="preserve">CO05-CO01</t>
  </si>
  <si>
    <t xml:space="preserve">CO05-CO02</t>
  </si>
  <si>
    <t xml:space="preserve">CO05-CO07</t>
  </si>
  <si>
    <t xml:space="preserve">CO06-CO11</t>
  </si>
  <si>
    <t xml:space="preserve">CO06-CO01</t>
  </si>
  <si>
    <t xml:space="preserve">CO06-CO02</t>
  </si>
  <si>
    <t xml:space="preserve">CO06-CO08</t>
  </si>
  <si>
    <t xml:space="preserve">CO06-CO09</t>
  </si>
  <si>
    <t xml:space="preserve">CO07-CO13</t>
  </si>
  <si>
    <t xml:space="preserve">CO07-FB07</t>
  </si>
  <si>
    <t xml:space="preserve">CO07-CO05</t>
  </si>
  <si>
    <t xml:space="preserve">CO07-CO01</t>
  </si>
  <si>
    <t xml:space="preserve">CO08-CO09</t>
  </si>
  <si>
    <t xml:space="preserve">CO08-CO03</t>
  </si>
  <si>
    <t xml:space="preserve">CO08-CO11</t>
  </si>
  <si>
    <t xml:space="preserve">CO08-CO01</t>
  </si>
  <si>
    <t xml:space="preserve">CO08-CO02</t>
  </si>
  <si>
    <t xml:space="preserve">CO09-CO11</t>
  </si>
  <si>
    <t xml:space="preserve">CO09-CO02</t>
  </si>
  <si>
    <t xml:space="preserve">CO09-CO08</t>
  </si>
  <si>
    <t xml:space="preserve">CO09-CO01</t>
  </si>
  <si>
    <t xml:space="preserve">CO10-CO04</t>
  </si>
  <si>
    <t xml:space="preserve">CO10-CO14</t>
  </si>
  <si>
    <t xml:space="preserve">CO10-CO05</t>
  </si>
  <si>
    <t xml:space="preserve">CO11-CO02</t>
  </si>
  <si>
    <t xml:space="preserve">CO11-CO01</t>
  </si>
  <si>
    <t xml:space="preserve">CO11-CO09</t>
  </si>
  <si>
    <t xml:space="preserve">CO11-CO06</t>
  </si>
  <si>
    <t xml:space="preserve">CO12-CO02</t>
  </si>
  <si>
    <t xml:space="preserve">CO12-CO05</t>
  </si>
  <si>
    <t xml:space="preserve">CO12-CO01</t>
  </si>
  <si>
    <t xml:space="preserve">CO13-CO07</t>
  </si>
  <si>
    <t xml:space="preserve">CO13-FB07</t>
  </si>
  <si>
    <t xml:space="preserve">CO13-CO05</t>
  </si>
  <si>
    <t xml:space="preserve">CO13-CO01</t>
  </si>
  <si>
    <t xml:space="preserve">CA01-CA02</t>
  </si>
  <si>
    <t xml:space="preserve">CA01-CA03</t>
  </si>
  <si>
    <t xml:space="preserve">CA01-CA04</t>
  </si>
  <si>
    <t xml:space="preserve">CA02-CA01</t>
  </si>
  <si>
    <t xml:space="preserve">CA02-CA03</t>
  </si>
  <si>
    <t xml:space="preserve">CA02-CA04</t>
  </si>
  <si>
    <t xml:space="preserve">CA03-CA01</t>
  </si>
  <si>
    <t xml:space="preserve">CA03-CA02</t>
  </si>
  <si>
    <t xml:space="preserve">CA03-CA04</t>
  </si>
  <si>
    <t xml:space="preserve">FB01-FB11</t>
  </si>
  <si>
    <t xml:space="preserve">FB01-HG08</t>
  </si>
  <si>
    <t xml:space="preserve">FB01-HG01</t>
  </si>
  <si>
    <t xml:space="preserve">FB01-QD13</t>
  </si>
  <si>
    <t xml:space="preserve">FB01-FB03</t>
  </si>
  <si>
    <t xml:space="preserve">FB02-FB07</t>
  </si>
  <si>
    <t xml:space="preserve">FB02-CO07</t>
  </si>
  <si>
    <t xml:space="preserve">FB02-CO01</t>
  </si>
  <si>
    <t xml:space="preserve">FB07-FB02</t>
  </si>
  <si>
    <t xml:space="preserve">FB07-CO07</t>
  </si>
  <si>
    <t xml:space="preserve">FB07-CO05</t>
  </si>
  <si>
    <t xml:space="preserve">CA04-CA03</t>
  </si>
  <si>
    <t xml:space="preserve">CA04-CA01</t>
  </si>
  <si>
    <t xml:space="preserve">CA04-CA02</t>
  </si>
  <si>
    <t xml:space="preserve">FB03-FB04</t>
  </si>
  <si>
    <t xml:space="preserve">FB03-FB08</t>
  </si>
  <si>
    <t xml:space="preserve">FB03-FB10</t>
  </si>
  <si>
    <t xml:space="preserve">FB03-FB09</t>
  </si>
  <si>
    <t xml:space="preserve">FB03-QD13</t>
  </si>
  <si>
    <t xml:space="preserve">FB04-FB09</t>
  </si>
  <si>
    <t xml:space="preserve">FB04-FB10</t>
  </si>
  <si>
    <t xml:space="preserve">FB04-FB08</t>
  </si>
  <si>
    <t xml:space="preserve">FB04-CO01</t>
  </si>
  <si>
    <t xml:space="preserve">FB04-FB03</t>
  </si>
  <si>
    <t xml:space="preserve">FB08-FB10</t>
  </si>
  <si>
    <t xml:space="preserve">FB08-FB04</t>
  </si>
  <si>
    <t xml:space="preserve">FB08-CA04</t>
  </si>
  <si>
    <t xml:space="preserve">FB08-FB09</t>
  </si>
  <si>
    <t xml:space="preserve">FB09-FB04</t>
  </si>
  <si>
    <t xml:space="preserve">FB09-CO01</t>
  </si>
  <si>
    <t xml:space="preserve">FB09-FB03</t>
  </si>
  <si>
    <t xml:space="preserve">FB09-FB10</t>
  </si>
  <si>
    <t xml:space="preserve">FB05-FB06</t>
  </si>
  <si>
    <t xml:space="preserve">FB05-FB10</t>
  </si>
  <si>
    <t xml:space="preserve">FB05-FB08</t>
  </si>
  <si>
    <t xml:space="preserve">FB05-FB03</t>
  </si>
  <si>
    <t xml:space="preserve">FB05-FB04</t>
  </si>
  <si>
    <t xml:space="preserve">FB06-FB05</t>
  </si>
  <si>
    <t xml:space="preserve">FB06-FB10</t>
  </si>
  <si>
    <t xml:space="preserve">FB06-FB08</t>
  </si>
  <si>
    <t xml:space="preserve">FB06-FB03</t>
  </si>
  <si>
    <t xml:space="preserve">FB06-FB04</t>
  </si>
  <si>
    <t xml:space="preserve">BK12-BK01</t>
  </si>
  <si>
    <t xml:space="preserve">BK12-BK13</t>
  </si>
  <si>
    <t xml:space="preserve">BK12-BK10</t>
  </si>
  <si>
    <t xml:space="preserve">BK12-HG01</t>
  </si>
  <si>
    <t xml:space="preserve">BK12-HG08</t>
  </si>
  <si>
    <t xml:space="preserve">BK12-QD02</t>
  </si>
  <si>
    <t xml:space="preserve">BK13-BK12</t>
  </si>
  <si>
    <t xml:space="preserve">BK13-HG01</t>
  </si>
  <si>
    <t xml:space="preserve">BK13-BK10</t>
  </si>
  <si>
    <t xml:space="preserve">BK13-HG08</t>
  </si>
  <si>
    <t xml:space="preserve">BK13-HG09</t>
  </si>
  <si>
    <t xml:space="preserve">BK13-HG03</t>
  </si>
  <si>
    <t xml:space="preserve">BK13-HG12</t>
  </si>
  <si>
    <t xml:space="preserve">BK14-BK07</t>
  </si>
  <si>
    <t xml:space="preserve">BK14-BK08</t>
  </si>
  <si>
    <t xml:space="preserve">BK14-BK03</t>
  </si>
  <si>
    <t xml:space="preserve">BK14-BK06</t>
  </si>
  <si>
    <t xml:space="preserve">BK15-BK05</t>
  </si>
  <si>
    <t xml:space="preserve">BK15-BK04</t>
  </si>
  <si>
    <t xml:space="preserve">BK15-BK11</t>
  </si>
  <si>
    <t xml:space="preserve">BK15-BK07</t>
  </si>
  <si>
    <t xml:space="preserve">BK15-BK09</t>
  </si>
  <si>
    <t xml:space="preserve">SH11-SH02</t>
  </si>
  <si>
    <t xml:space="preserve">SH11-SH07</t>
  </si>
  <si>
    <t xml:space="preserve">SH11-SH08</t>
  </si>
  <si>
    <t xml:space="preserve">SH11-SH01</t>
  </si>
  <si>
    <t xml:space="preserve">SH11-SH09</t>
  </si>
  <si>
    <t xml:space="preserve">SH12-SH05</t>
  </si>
  <si>
    <t xml:space="preserve">SH12-SH06</t>
  </si>
  <si>
    <t xml:space="preserve">SH12-SH10</t>
  </si>
  <si>
    <t xml:space="preserve">QD14-QD10</t>
  </si>
  <si>
    <t xml:space="preserve">QD14-QD07</t>
  </si>
  <si>
    <t xml:space="preserve">QD14-QD12</t>
  </si>
  <si>
    <t xml:space="preserve">QD14-QD09</t>
  </si>
  <si>
    <t xml:space="preserve">HG13-HG10</t>
  </si>
  <si>
    <t xml:space="preserve">HG13-HG11</t>
  </si>
  <si>
    <t xml:space="preserve">HG13-HG03</t>
  </si>
  <si>
    <t xml:space="preserve">HG13-CO07</t>
  </si>
  <si>
    <t xml:space="preserve">HG14-HG05</t>
  </si>
  <si>
    <t xml:space="preserve">HG14-HG04</t>
  </si>
  <si>
    <t xml:space="preserve">HG14-HG06</t>
  </si>
  <si>
    <t xml:space="preserve">HG14-HG11</t>
  </si>
  <si>
    <t xml:space="preserve">CO14-CO10</t>
  </si>
  <si>
    <t xml:space="preserve">CO14-CO04</t>
  </si>
  <si>
    <t xml:space="preserve">CO14-CO07</t>
  </si>
  <si>
    <t xml:space="preserve">CO14-CO05</t>
  </si>
  <si>
    <t xml:space="preserve">FB10-FB08</t>
  </si>
  <si>
    <t xml:space="preserve">FB10-FB04</t>
  </si>
  <si>
    <t xml:space="preserve">FB10-FB09</t>
  </si>
  <si>
    <t xml:space="preserve">FB10-FB03</t>
  </si>
  <si>
    <t xml:space="preserve">FB11-FB01</t>
  </si>
  <si>
    <t xml:space="preserve">FB11-HG08</t>
  </si>
  <si>
    <t xml:space="preserve">FB11-HG01</t>
  </si>
  <si>
    <t xml:space="preserve">FB11-QD13</t>
  </si>
  <si>
    <t xml:space="preserve">FB11-FB08</t>
  </si>
  <si>
    <t xml:space="preserve">FB12-FB06</t>
  </si>
  <si>
    <t xml:space="preserve">FB12-FB13</t>
  </si>
  <si>
    <t xml:space="preserve">FB12-FB05</t>
  </si>
  <si>
    <t xml:space="preserve">FB12-FB10</t>
  </si>
  <si>
    <t xml:space="preserve">FB12-FB08</t>
  </si>
  <si>
    <t xml:space="preserve">FB13-FB12</t>
  </si>
  <si>
    <t xml:space="preserve">FB13-FB06</t>
  </si>
  <si>
    <t xml:space="preserve">FB13-FB05</t>
  </si>
  <si>
    <t xml:space="preserve">FB13-FB10</t>
  </si>
  <si>
    <t xml:space="preserve">FB13-QD04</t>
  </si>
  <si>
    <t xml:space="preserve">FB14-FB06</t>
  </si>
  <si>
    <t xml:space="preserve">FB14-FB12</t>
  </si>
  <si>
    <t xml:space="preserve">FB14-FB05</t>
  </si>
  <si>
    <t xml:space="preserve">FB14-FB13</t>
  </si>
  <si>
    <t xml:space="preserve">Exercise Swaps (runtime)</t>
  </si>
  <si>
    <t xml:space="preserve">How the coach AI handles a mid-program request to change an exercise. Every swap is resolved by walking the Substitutions sheet in priority order and returning the FIRST entry that passes the user's equipment, skill and exclusion filters, never by inventing an exercise. A swap changes which exercise fills a slot, never the slot's safety envelope: the new exercise is re-prescribed from Prescription Logic and re-clamped by Safety Rules and its own Min RIR. Every swap writes to swap_history; dislike and pain swaps also update excluded_exercise_ids. A reported stop symptom is never a swap, it is an S06 escalation.</t>
  </si>
  <si>
    <t xml:space="preserve">swap_id</t>
  </si>
  <si>
    <t xml:space="preserve">trigger</t>
  </si>
  <si>
    <t xml:space="preserve">how_the_user_signals_it</t>
  </si>
  <si>
    <t xml:space="preserve">coach_action</t>
  </si>
  <si>
    <t xml:space="preserve">reason_code</t>
  </si>
  <si>
    <t xml:space="preserve">persistence</t>
  </si>
  <si>
    <t xml:space="preserve">SW01</t>
  </si>
  <si>
    <t xml:space="preserve">user dislikes the exercise</t>
  </si>
  <si>
    <t xml:space="preserve">User taps swap or tells the coach they dislike it</t>
  </si>
  <si>
    <t xml:space="preserve">Walk the Substitutions list for that exercise in priority order. Return the first entry that passes the user's equipment tags, skill level and exclusions. Serve it in the same slot with the same slot prescription.</t>
  </si>
  <si>
    <t xml:space="preserve">dislike</t>
  </si>
  <si>
    <t xml:space="preserve">Permanent. Add from_id to excluded_exercise_ids so it is never served again unless the user re-enables it.</t>
  </si>
  <si>
    <t xml:space="preserve">SW02</t>
  </si>
  <si>
    <t xml:space="preserve">exercise hurts (non-acute)</t>
  </si>
  <si>
    <t xml:space="preserve">User says it is uncomfortable or aggravates a known area, but reports no stop symptom</t>
  </si>
  <si>
    <t xml:space="preserve">Same as SW01, and additionally skip any substitute whose Stress Regions overlap the user's affected_regions, and any sharing the flagged movement pattern. Prefer Supported=Yes and Impact=Low substitutes. Region matching is now structured (Exercise Database Stress Regions vs users.affected_regions), not inferred from names. At program-build time this is driven by the Injury Modifications sheet; mid-program pain swaps use the same region rows.</t>
  </si>
  <si>
    <t xml:space="preserve">pain</t>
  </si>
  <si>
    <t xml:space="preserve">Permanent block on from_id pending user confirmation the area is fine. Logs a pain_flag.</t>
  </si>
  <si>
    <t xml:space="preserve">SW03</t>
  </si>
  <si>
    <t xml:space="preserve">stop symptom during exercise</t>
  </si>
  <si>
    <t xml:space="preserve">User reports chest pain, dizziness, faintness, unusual breathlessness, palpitations, numbness or sharp joint pain</t>
  </si>
  <si>
    <t xml:space="preserve">Do NOT swap and continue. Trigger Safety Rule S06: end the session, show the stop message, halt further generation until resolved or cleared. This overrides any swap request.</t>
  </si>
  <si>
    <t xml:space="preserve">stop_symptom</t>
  </si>
  <si>
    <t xml:space="preserve">Escalation, not a swap. Writes a stop_symptom_event to flags.</t>
  </si>
  <si>
    <t xml:space="preserve">SW04</t>
  </si>
  <si>
    <t xml:space="preserve">equipment unavailable</t>
  </si>
  <si>
    <t xml:space="preserve">Chosen exercise needs a machine or tool the user cannot access right now</t>
  </si>
  <si>
    <t xml:space="preserve">Walk Substitutions for the first entry whose required_equipment_tags are a subset of the user's available tags. Temporary swaps (busy gym) are not added to exclusions.</t>
  </si>
  <si>
    <t xml:space="preserve">equipment</t>
  </si>
  <si>
    <t xml:space="preserve">Session-only unless the user changes their stored equipment, then permanent for the program.</t>
  </si>
  <si>
    <t xml:space="preserve">SW05</t>
  </si>
  <si>
    <t xml:space="preserve">too hard</t>
  </si>
  <si>
    <t xml:space="preserve">User cannot complete the prescribed reps with acceptable form, or reports the movement is beyond them</t>
  </si>
  <si>
    <t xml:space="preserve">First reduce load or reps within the slot (see Progression Engine down-adjust). If the exercise itself is the problem, walk Substitutions to the first entry at or below the user's skill level and, for compounds, prefer a more supported or machine variation.</t>
  </si>
  <si>
    <t xml:space="preserve">skill</t>
  </si>
  <si>
    <t xml:space="preserve">Temporary. Re-offers the original once progression_state shows the user has advanced.</t>
  </si>
  <si>
    <t xml:space="preserve">SW06</t>
  </si>
  <si>
    <t xml:space="preserve">too easy</t>
  </si>
  <si>
    <t xml:space="preserve">User finds it trivial even at target load and top of the rep range</t>
  </si>
  <si>
    <t xml:space="preserve">First progress load or reps (see Progression Engine up-adjust). Only swap the exercise if the user specifically wants variety, in which case offer a same-group substitute of equal or higher skill.</t>
  </si>
  <si>
    <t xml:space="preserve">preference</t>
  </si>
  <si>
    <t xml:space="preserve">No exclusion. Variety swap only.</t>
  </si>
  <si>
    <t xml:space="preserve">SW07</t>
  </si>
  <si>
    <t xml:space="preserve">wants a specific exercise</t>
  </si>
  <si>
    <t xml:space="preserve">User names an exercise they want in a slot</t>
  </si>
  <si>
    <t xml:space="preserve">If the named exercise exists in the database, passes their equipment and skill filters, and fits the slot's muscle_group and type filters, place it. If it fails a HARD_SAFETY rule or the slot filter, explain why in one sentence and offer the closest valid option.</t>
  </si>
  <si>
    <t xml:space="preserve">user_choice</t>
  </si>
  <si>
    <t xml:space="preserve">Honoured where safe. Never overrides screening, skill gates or equipment reality.</t>
  </si>
  <si>
    <t xml:space="preserve">SW08</t>
  </si>
  <si>
    <t xml:space="preserve">wants variety generally</t>
  </si>
  <si>
    <t xml:space="preserve">User is bored, no specific target</t>
  </si>
  <si>
    <t xml:space="preserve">Rotate one or two slots to same-group substitutes the user has not done recently, keeping the day's muscle and volume targets intact.</t>
  </si>
  <si>
    <t xml:space="preserve">No exclusion. Freshness tracked so the same swaps are not repeated.</t>
  </si>
  <si>
    <t xml:space="preserve">Coverage Check</t>
  </si>
  <si>
    <t xml:space="preserve">Live counts driven off the Exercise Database sheet. Use this to spot gaps before shipping the program generator.</t>
  </si>
  <si>
    <t xml:space="preserve">By Muscle Group</t>
  </si>
  <si>
    <t xml:space="preserve">Category</t>
  </si>
  <si>
    <t xml:space="preserve">Count</t>
  </si>
  <si>
    <t xml:space="preserve">% of DB</t>
  </si>
  <si>
    <t xml:space="preserve">Total</t>
  </si>
  <si>
    <t xml:space="preserve">By Equipment Tier</t>
  </si>
  <si>
    <t xml:space="preserve">By Skill Level</t>
  </si>
  <si>
    <t xml:space="preserve">By Primary Goal Fit</t>
  </si>
  <si>
    <t xml:space="preserve">By Type</t>
  </si>
  <si>
    <t xml:space="preserve">By Prescription Class</t>
  </si>
  <si>
    <t xml:space="preserve">Substitution Coverage</t>
  </si>
  <si>
    <t xml:space="preserve">Exercises in database</t>
  </si>
  <si>
    <t xml:space="preserve">Exercises with at least 1 substitution</t>
  </si>
  <si>
    <t xml:space="preserve">Exercises with at least 3 substitutions</t>
  </si>
  <si>
    <t xml:space="preserve">Average substitutions per exercise</t>
  </si>
  <si>
    <t xml:space="preserve">Exercises with no substitution</t>
  </si>
  <si>
    <t xml:space="preserve">Swap Logic</t>
  </si>
  <si>
    <t xml:space="preserve">Every exercise has at least three prepared alternatives, listed best first. Tier 1 is a true like for like swap from the same substitution group. Tier 2 is a same muscle group swap, used when a user simply dislikes or cannot access the movement. Advanced lifts always list an easier swap first.</t>
  </si>
  <si>
    <t xml:space="preserve">Tier 1</t>
  </si>
  <si>
    <t xml:space="preserve">Swap Note</t>
  </si>
  <si>
    <t xml:space="preserve">Multiple like for like swaps available.</t>
  </si>
  <si>
    <t xml:space="preserve">One like for like swap (Dumbbell Chest Fly). Rest are same muscle group.</t>
  </si>
  <si>
    <t xml:space="preserve">One like for like swap (Cable Chest Fly). Rest are same muscle group.</t>
  </si>
  <si>
    <t xml:space="preserve">Advanced only. Serve Feet Elevated Push Up to beginner and intermediate users.</t>
  </si>
  <si>
    <t xml:space="preserve">Advanced only. Serve Trap Bar Deadlift to beginner and intermediate users.</t>
  </si>
  <si>
    <t xml:space="preserve">Advanced only. Serve Lat Pulldown to beginner and intermediate users.</t>
  </si>
  <si>
    <t xml:space="preserve">Advanced only. Serve Goblet Squat to beginner and intermediate users.</t>
  </si>
  <si>
    <t xml:space="preserve">Advanced only. Serve Slider Hamstring Curl to beginner and intermediate users.</t>
  </si>
  <si>
    <t xml:space="preserve">One like for like swap (Lateral Band Walk). Rest are same muscle group.</t>
  </si>
  <si>
    <t xml:space="preserve">Advanced only. Serve Supinated Inverted Row to beginner and intermediate users.</t>
  </si>
  <si>
    <t xml:space="preserve">One like for like swap (Chin Up (Close Grip)). Rest are same muscle group.</t>
  </si>
  <si>
    <t xml:space="preserve">Advanced only. Serve Reverse Crunch to beginner and intermediate users.</t>
  </si>
  <si>
    <t xml:space="preserve">One like for like swap (Bird Dog). Rest are same muscle group.</t>
  </si>
  <si>
    <t xml:space="preserve">Advanced only. Serve Hollow Body Hold to beginner and intermediate users.</t>
  </si>
  <si>
    <t xml:space="preserve">One like for like swap (Copenhagen Plank). Rest are same muscle group.</t>
  </si>
  <si>
    <t xml:space="preserve">One like for like swap (Pallof Press). Rest are same muscle group.</t>
  </si>
  <si>
    <t xml:space="preserve">Advanced only. Serve Side Plank to beginner and intermediate users.</t>
  </si>
  <si>
    <t xml:space="preserve">One like for like swap (Dumbbell Swing). Rest are same muscle group.</t>
  </si>
  <si>
    <t xml:space="preserve">One like for like swap (Suitcase Carry). Rest are same muscle group.</t>
  </si>
  <si>
    <t xml:space="preserve">One like for like swap (Farmer Carry). Rest are same muscle group.</t>
  </si>
  <si>
    <t xml:space="preserve">One like for like swap (High Knees). Rest are same muscle group.</t>
  </si>
  <si>
    <t xml:space="preserve">Seated Dumbbell Shoulder Press, Arnold Press, Pike Push Up, Barbell Overhead Press</t>
  </si>
  <si>
    <t xml:space="preserve">One like for like swap (Hip Abduction). Rest are same muscle group.</t>
  </si>
  <si>
    <t xml:space="preserve">One like for like swap (Jumping Jack). Rest are same muscle group.</t>
  </si>
  <si>
    <t xml:space="preserve">Kettlebell Swing, Cable Pull Through, Romanian Deadlift, Jump Squat</t>
  </si>
  <si>
    <t xml:space="preserve">One like for like swap (Kettlebell Swing). Rest are same muscle group.</t>
  </si>
  <si>
    <t xml:space="preserve">How The Program Generator Should Read Each Column</t>
  </si>
  <si>
    <t xml:space="preserve">Column</t>
  </si>
  <si>
    <t xml:space="preserve">What it does</t>
  </si>
  <si>
    <t xml:space="preserve">Stable primary key. Never reuse or renumber. Log sets against this, not the exercise name.</t>
  </si>
  <si>
    <t xml:space="preserve">Top level filter. Used to hit weekly volume targets per muscle.</t>
  </si>
  <si>
    <t xml:space="preserve">Ensures a program covers push, pull, squat, hinge, lunge, carry and core rather than repeating one pattern.</t>
  </si>
  <si>
    <t xml:space="preserve">Compound movements are placed first in a session. Isolation movements fill remaining volume.</t>
  </si>
  <si>
    <t xml:space="preserve">Hard filter set at onboarding. Bodyweight is a strict subset of Basic Gym, which is a strict subset of Full Gym.</t>
  </si>
  <si>
    <t xml:space="preserve">Gate against user experience. A first time lifter is never served an Advanced movement in week one.</t>
  </si>
  <si>
    <t xml:space="preserve">Flag for imbalance correction and for low equipment users who need more stimulus from light loads.</t>
  </si>
  <si>
    <t xml:space="preserve">If No, progress via reps, tempo or leverage instead of adding weight.</t>
  </si>
  <si>
    <t xml:space="preserve">Weighting, not a hard filter. A hypertrophy user can still be given a Strength tagged lift.</t>
  </si>
  <si>
    <t xml:space="preserve">Selection rationale. Each exercise earns its slot by covering something no other exercise covers.</t>
  </si>
  <si>
    <t xml:space="preserve">One line shown under the video on the exercise screen. Sells the exercise to the user in plain language.</t>
  </si>
  <si>
    <t xml:space="preserve">Step 1 / Step 2 / Step 3</t>
  </si>
  <si>
    <t xml:space="preserve">The numbered cues shown on the exercise screen. Never more than three. Written as instructions, not theory.</t>
  </si>
  <si>
    <t xml:space="preserve">The single most common error. Rendered in the grey callout box under the steps.</t>
  </si>
  <si>
    <t xml:space="preserve">Ordered list. Position 1 is the closest match the app can serve. The swap button walks this list top down, skipping anything the user's equipment tier or skill level blocks.</t>
  </si>
  <si>
    <t xml:space="preserve">Sanity check. Should never be zero. Anything under 3 is a coverage risk.</t>
  </si>
  <si>
    <t xml:space="preserve">The closest to failure this exercise may ever be taken, for any user and any goal. The generator raises the grid RIR to meet this number, never lowers it.</t>
  </si>
  <si>
    <t xml:space="preserve">Shown to the user on the exercise screen and used by the generator when a set is flagged.</t>
  </si>
  <si>
    <t xml:space="preserve">Prescription Logic sheet</t>
  </si>
  <si>
    <t xml:space="preserve">Flat lookup. Key is Goal|Class. Every cell is a number or empty. Read the row, clamp it against Safety Rules, then write the set.</t>
  </si>
  <si>
    <t xml:space="preserve">Safety Rules sheet</t>
  </si>
  <si>
    <t xml:space="preserve">Applied after the grid lookup, in rule_id order. HARD rules block the session. SOFT rules warn and adjust.</t>
  </si>
  <si>
    <t xml:space="preserve">Substitutions sheet</t>
  </si>
  <si>
    <t xml:space="preserve">The source of truth for swaps, keyed by ID so renames never break relationships. The name based columns on the other sheets are human readable views of this data.</t>
  </si>
  <si>
    <t xml:space="preserve">Substitution IDs / Failure Allowed / Spotter Recommended</t>
  </si>
  <si>
    <t xml:space="preserve">Substitution IDs mirror the name list by ID. Failure Allowed = No forces the Min RIR floor. Spotter Recommended triggers rule S09 for users training alone.</t>
  </si>
  <si>
    <t xml:space="preserve">Splits + Split Selector</t>
  </si>
  <si>
    <t xml:space="preserve">Which weekly structures exist and which one a given user gets. Selector matches days, then experience, then goal, first row wins.</t>
  </si>
  <si>
    <t xml:space="preserve">The slot recipe for each day type. Filters map onto Exercise Database columns of the same name.</t>
  </si>
  <si>
    <t xml:space="preserve">Weekly hard set budget per muscle, with the focal point adjustment and the 20 set cap.</t>
  </si>
  <si>
    <t xml:space="preserve">The thirteen step order of operations. Anything the AI does when prescribing must trace back to a step on this sheet.</t>
  </si>
  <si>
    <t xml:space="preserve">Screening Outcomes</t>
  </si>
  <si>
    <t xml:space="preserve">Screening maps to exactly one of four outcomes. The app never softens a program as a substitute for professional clearance.</t>
  </si>
  <si>
    <t xml:space="preserve">External Commitments</t>
  </si>
  <si>
    <t xml:space="preserve">Fixed weekly activities count against the weekly volume and conditioning budget. The AI classifies free text into a commitment_type and applies the row's adjustment.</t>
  </si>
  <si>
    <t xml:space="preserve">Schedule Rules</t>
  </si>
  <si>
    <t xml:space="preserve">Day types are placed onto real weekdays: rest floor, 48 hour spacing, commitment adjacency, missed session handling, exam mode. Rest days are calculated, never assumed.</t>
  </si>
  <si>
    <t xml:space="preserve">Custom Split Rules</t>
  </si>
  <si>
    <t xml:space="preserve">Any user built structure compiles to a day_structure string, is validated (coverage, spacing, shared volume), and flows through the rest of the pipeline with zero special cases.</t>
  </si>
  <si>
    <t xml:space="preserve">Required / Optional Equipment Tags</t>
  </si>
  <si>
    <t xml:space="preserve">Structured equipment. Tags are comma separated, a slash inside a tag means any one of those satisfies it (bench/chair/bed). Onboarding collects the user's exact tags, the generator filters on them. Equipment Tier remains the coarse filter, tags are the precise one.</t>
  </si>
  <si>
    <t xml:space="preserve">Impact Level / Supported</t>
  </si>
  <si>
    <t xml:space="preserve">Impact: Low, Moderate or High landing forces. Supported: torso externally supported or ground based. These are what MODIFY_AND_CONTINUE screening modifications filter on.</t>
  </si>
  <si>
    <t xml:space="preserve">Active / video_url</t>
  </si>
  <si>
    <t xml:space="preserve">Active = No removes an exercise from selection without deleting its history. video_url is the placeholder for the Form &amp; video button content.</t>
  </si>
  <si>
    <t xml:space="preserve">Cond day type</t>
  </si>
  <si>
    <t xml:space="preserve">Conditioning is a first class day type with its own template, so Interval prescriptions are placed deterministically instead of floating.</t>
  </si>
  <si>
    <t xml:space="preserve">Data Schemas sheet</t>
  </si>
  <si>
    <t xml:space="preserve">The Firestore collections for dynamic user state: programs, workout instances, set logs, progression, swaps, flags. The static workbook plus these collections is the complete backend.</t>
  </si>
  <si>
    <t xml:space="preserve">Weekly Volume reconciliation</t>
  </si>
  <si>
    <t xml:space="preserve">Template slots are a base, not the budget. The seven reconciliation rules close the gap between slot counts and weekly targets in a fixed order.</t>
  </si>
  <si>
    <t xml:space="preserve">Onboarding Contract sheet</t>
  </si>
  <si>
    <t xml:space="preserve">Maps every onboarding wizard field to the backend field and canonical value it produces. 'ask' fields are collected in the wizard, 'infer_ok' fields may be defaulted and refined later. The screening block gates generation under S05.</t>
  </si>
  <si>
    <t xml:space="preserve">Exercise Swaps sheet</t>
  </si>
  <si>
    <t xml:space="preserve">Runtime playbook for user-initiated exercise changes. Resolves every swap through the Substitutions list, re-prescribes and re-clamps safety. Distinguishes a swap from an S06 stop-symptom escalation.</t>
  </si>
  <si>
    <t xml:space="preserve">Progression Engine sheet</t>
  </si>
  <si>
    <t xml:space="preserve">Runtime playbook for adjusting reps, sets and load from logged performance. Bounded by the grid ranges and Safety Rules; progresses only when safe, pauses on fatigue, reverses on missed reps.</t>
  </si>
  <si>
    <t xml:space="preserve">Goal Change sheet</t>
  </si>
  <si>
    <t xml:space="preserve">Runtime playbook for a mid-program goal change. Re-runs goal-dependent steps, preserves loads and history, eases intensity over one week, versions the program.</t>
  </si>
  <si>
    <t xml:space="preserve">Measurement Type / Load Unit / Stress Regions</t>
  </si>
  <si>
    <t xml:space="preserve">Measurement Type says how an exercise is logged and progressed (weight_reps, reps, duration, interval, assisted). Load Unit is its unit. Stress Regions are the joints/areas loaded, matched against users.affected_regions for injury-aware swaps (SW02).</t>
  </si>
  <si>
    <t xml:space="preserve">Age Routing sheet</t>
  </si>
  <si>
    <t xml:space="preserve">Age (from date_of_birth, never defaulted) chooses the screening pathway. Under-18s use the young-person path with guardian consent; under-16 is blocked.</t>
  </si>
  <si>
    <t xml:space="preserve">Joint flag follow-ups</t>
  </si>
  <si>
    <t xml:space="preserve">A Yes on the joint screening question triggers follow-ups that decide MODIFY vs professional clearance. A bare yes/no cannot route safely.</t>
  </si>
  <si>
    <t xml:space="preserve">Load Increments by Equipment</t>
  </si>
  <si>
    <t xml:space="preserve">Progression rounds to the smallest achievable increment for the equipment type, not a fixed 2.5/5 kg.</t>
  </si>
  <si>
    <t xml:space="preserve">Injury Modifications sheet</t>
  </si>
  <si>
    <t xml:space="preserve">Deterministic rules for the MODIFY_AND_CONTINUE screening branch. One row per flaggable region (lower_back, knee, shoulder, wrist, hip, ankle) giving exclude_ids, downgrade_ids, preferred alternatives, an RIR bump and a review period. Turns 'the AI avoids the injured area' into a fixed lookup the AI reads.</t>
  </si>
  <si>
    <t xml:space="preserve">Coach AI Operating Rules sheet</t>
  </si>
  <si>
    <t xml:space="preserve">The governing instruction set for the coach AI: its job, hard nevers, the order it consults other sheets, out-of-scope refusals, and the fallback for unlisted requests. The app's extraInstructions field points here.</t>
  </si>
  <si>
    <t xml:space="preserve">Custom Split Resolution sheet</t>
  </si>
  <si>
    <t xml:space="preserve">Deterministic lookup from a fuzzy structural request (day count + what to emphasise/de-emphasise) to a specific day_structure, so 'legs once a week' always resolves the same way.</t>
  </si>
  <si>
    <t xml:space="preserve">Exam Survival Protocol sheet</t>
  </si>
  <si>
    <t xml:space="preserve">Lets a user declare a future date range and pick how training adapts (full pause, maintenance, just-walk, fewer days, deload, or no change). Proactive twin of the missed-session rules. Protects progress; nothing below full_pause loses strength.</t>
  </si>
  <si>
    <t xml:space="preserve">Exam Protocol Build Spec sheet</t>
  </si>
  <si>
    <t xml:space="preserve">The implementation companion: what Claude Code builds (data model, screen, generator check, scheduler exemption) and what changes on-platform to ship the feature.</t>
  </si>
  <si>
    <t xml:space="preserve">Build Backlog sheet</t>
  </si>
  <si>
    <t xml:space="preserve">Every implementation task from across the workbook in one ordered, prioritised checklist (P0 safe-launch, P1 core engine, P2 enhancement), each pointing to its spec sheet and an acceptance check. The build plan for the repo.</t>
  </si>
  <si>
    <t xml:space="preserve">Claude Code Notes sheet</t>
  </si>
  <si>
    <t xml:space="preserve">In-app engineering notes (editable training days, catch-up on misses, pulling activity into the generator, optional activity step, injury region mapping, free-text red-flag scan). Fold into the Build Backlog.</t>
  </si>
  <si>
    <t xml:space="preserve">Prescription Grid</t>
  </si>
  <si>
    <t xml:space="preserve">One row per Goal and Prescription Class. Key = Goal|Class, unique, use it as the Firestore document ID. Every number is a plain number, no text, no ranges inside a cell. Empty means not applicable. RIR is reps left in reserve. Higher RIR is easier and safer. Sets, reps, seconds and rest are all min and max pairs.</t>
  </si>
  <si>
    <t xml:space="preserve">goal</t>
  </si>
  <si>
    <t xml:space="preserve">prescription_class</t>
  </si>
  <si>
    <t xml:space="preserve">sets_min</t>
  </si>
  <si>
    <t xml:space="preserve">sets_max</t>
  </si>
  <si>
    <t xml:space="preserve">reps_min</t>
  </si>
  <si>
    <t xml:space="preserve">reps_max</t>
  </si>
  <si>
    <t xml:space="preserve">duration_sec_min</t>
  </si>
  <si>
    <t xml:space="preserve">duration_sec_max</t>
  </si>
  <si>
    <t xml:space="preserve">rir_min</t>
  </si>
  <si>
    <t xml:space="preserve">rir_max</t>
  </si>
  <si>
    <t xml:space="preserve">rest_sec_min</t>
  </si>
  <si>
    <t xml:space="preserve">rest_sec_max</t>
  </si>
  <si>
    <t xml:space="preserve">pct_1rm_min</t>
  </si>
  <si>
    <t xml:space="preserve">pct_1rm_max</t>
  </si>
  <si>
    <t xml:space="preserve">rounds_min</t>
  </si>
  <si>
    <t xml:space="preserve">rounds_max</t>
  </si>
  <si>
    <t xml:space="preserve">progression_rule</t>
  </si>
  <si>
    <t xml:space="preserve">coach_note</t>
  </si>
  <si>
    <t xml:space="preserve">Strength|Load</t>
  </si>
  <si>
    <t xml:space="preserve">Add 2.5kg upper body or 5kg lower body once the top set hits reps_max in two sessions in a row. Never add more than 5 percent load in a week.</t>
  </si>
  <si>
    <t xml:space="preserve">Heavy load with long rest. Reps stay at 4 or above so the app never prescribes a near maximal single.</t>
  </si>
  <si>
    <t xml:space="preserve">Strength|Rep</t>
  </si>
  <si>
    <t xml:space="preserve">Move to a harder version of the exercise rather than adding reps. Once a set passes 8 reps, progress the variation.</t>
  </si>
  <si>
    <t xml:space="preserve">No load to add, so difficulty comes from leverage.</t>
  </si>
  <si>
    <t xml:space="preserve">Strength|Time</t>
  </si>
  <si>
    <t xml:space="preserve">Add load first, seconds second. Hold time is capped at 40 seconds.</t>
  </si>
  <si>
    <t xml:space="preserve">Short heavy holds. Long holds become endurance work.</t>
  </si>
  <si>
    <t xml:space="preserve">Strength|Power</t>
  </si>
  <si>
    <t xml:space="preserve">Add height, distance or load only while movement speed stays the same. Stop the set the moment speed drops.</t>
  </si>
  <si>
    <t xml:space="preserve">Never taken near failure. A failed power rep is a fall.</t>
  </si>
  <si>
    <t xml:space="preserve">Strength|Interval</t>
  </si>
  <si>
    <t xml:space="preserve">Do not progress. Keep it as an easy warm up only.</t>
  </si>
  <si>
    <t xml:space="preserve">Conditioning competes with heavy lifting recovery, so keep it small.</t>
  </si>
  <si>
    <t xml:space="preserve">Hypertrophy|Load</t>
  </si>
  <si>
    <t xml:space="preserve">Double progression. Add reps to reps_max, then add weight and return to reps_min.</t>
  </si>
  <si>
    <t xml:space="preserve">Hard sets close to failure drive growth. Compounds keep at least 1 rep in reserve.</t>
  </si>
  <si>
    <t xml:space="preserve">Hypertrophy|Rep</t>
  </si>
  <si>
    <t xml:space="preserve">Add reps, then slow the lowering phase, then move to a harder variation.</t>
  </si>
  <si>
    <t xml:space="preserve">Bodyweight sets need to be taken closer to failure than loaded ones.</t>
  </si>
  <si>
    <t xml:space="preserve">Hypertrophy|Time</t>
  </si>
  <si>
    <t xml:space="preserve">Add seconds to 60, then add load or move to a harder position.</t>
  </si>
  <si>
    <t xml:space="preserve">Past 60 seconds the limit becomes endurance rather than muscle.</t>
  </si>
  <si>
    <t xml:space="preserve">Hypertrophy|Power</t>
  </si>
  <si>
    <t xml:space="preserve">Do not chase growth here. Use it as a primer before heavy sets.</t>
  </si>
  <si>
    <t xml:space="preserve">Explosive lifts cannot be pushed near failure safely.</t>
  </si>
  <si>
    <t xml:space="preserve">Hypertrophy|Interval</t>
  </si>
  <si>
    <t xml:space="preserve">Hold steady. Do not add volume.</t>
  </si>
  <si>
    <t xml:space="preserve">Enough conditioning to stay fit, not enough to eat into recovery.</t>
  </si>
  <si>
    <t xml:space="preserve">Fat Loss|Load</t>
  </si>
  <si>
    <t xml:space="preserve">Keep the weight the same and cut rest, or hold the reps and add weight. Never let load fall.</t>
  </si>
  <si>
    <t xml:space="preserve">In a calorie deficit, lifting keeps the muscle you already have. Cut volume, never load.</t>
  </si>
  <si>
    <t xml:space="preserve">Fat Loss|Rep</t>
  </si>
  <si>
    <t xml:space="preserve">Add reps or shorten rest. Can be run as a circuit.</t>
  </si>
  <si>
    <t xml:space="preserve">Keeps heart rate up while still loading the muscle.</t>
  </si>
  <si>
    <t xml:space="preserve">Fat Loss|Time</t>
  </si>
  <si>
    <t xml:space="preserve">Add seconds or reduce rest.</t>
  </si>
  <si>
    <t xml:space="preserve">Cheap to recover from and keeps total work high.</t>
  </si>
  <si>
    <t xml:space="preserve">Fat Loss|Power</t>
  </si>
  <si>
    <t xml:space="preserve">Add rounds, not reps per round.</t>
  </si>
  <si>
    <t xml:space="preserve">Capping the work interval keeps technique intact as fatigue builds.</t>
  </si>
  <si>
    <t xml:space="preserve">Fat Loss|Interval</t>
  </si>
  <si>
    <t xml:space="preserve">Add rounds, then extend the work interval, then cut rest.</t>
  </si>
  <si>
    <t xml:space="preserve">Short hard intervals. Effort around 8 out of 10, never all out.</t>
  </si>
  <si>
    <t xml:space="preserve">General Fitness|Load</t>
  </si>
  <si>
    <t xml:space="preserve">Add reps or a small amount of weight whenever the last set feels easy.</t>
  </si>
  <si>
    <t xml:space="preserve">Leaving reps in reserve keeps soreness low and keeps the user turning up.</t>
  </si>
  <si>
    <t xml:space="preserve">General Fitness|Rep</t>
  </si>
  <si>
    <t xml:space="preserve">Add reps, then progress the variation.</t>
  </si>
  <si>
    <t xml:space="preserve">The goal is a habit that survives exam period.</t>
  </si>
  <si>
    <t xml:space="preserve">General Fitness|Time</t>
  </si>
  <si>
    <t xml:space="preserve">Add seconds.</t>
  </si>
  <si>
    <t xml:space="preserve">Builds trunk endurance and postural tolerance.</t>
  </si>
  <si>
    <t xml:space="preserve">General Fitness|Power</t>
  </si>
  <si>
    <t xml:space="preserve">Add reps only once the landing is quiet and controlled.</t>
  </si>
  <si>
    <t xml:space="preserve">Teaches force absorption, which protects knees and ankles. Skill first.</t>
  </si>
  <si>
    <t xml:space="preserve">General Fitness|Interval</t>
  </si>
  <si>
    <t xml:space="preserve">Add rounds.</t>
  </si>
  <si>
    <t xml:space="preserve">Moderate effort, around 6 out of 10. Builds an aerobic base.</t>
  </si>
  <si>
    <t xml:space="preserve">Progression Engine (runtime)</t>
  </si>
  <si>
    <t xml:space="preserve">How the backend adjusts reps, sets and load from logged performance. Runs at Generator Flow step 9 after every completed workout instance, reading set_logs and writing progression_state. Every adjustment is bounded by the Prescription Grid ranges and the Safety Rules: the engine may move a user within reps_min to reps_max and up to the S07 weekly load cap, and it may never take a user below a floor, above 88 percent 1RM, below 4 reps on a Load exercise, or past the exercise Min RIR. Progression only happens when it is safe: fatigue, missed reps and stop symptoms all pause or reverse it.</t>
  </si>
  <si>
    <t xml:space="preserve">rule_id</t>
  </si>
  <si>
    <t xml:space="preserve">adjustment</t>
  </si>
  <si>
    <t xml:space="preserve">condition</t>
  </si>
  <si>
    <t xml:space="preserve">engine_action</t>
  </si>
  <si>
    <t xml:space="preserve">writes_to_progression_state</t>
  </si>
  <si>
    <t xml:space="preserve">PR01</t>
  </si>
  <si>
    <t xml:space="preserve">progress load (up)</t>
  </si>
  <si>
    <t xml:space="preserve">Loadable exercise. User hit the top of the rep range (reps_max) with the prescribed RIR or easier, for the required number of sessions (default 2 in a row)</t>
  </si>
  <si>
    <t xml:space="preserve">Add one increment: 2.5kg upper body, 5kg lower body, or 5 percent, whichever is smaller. Reset reps to reps_min. Capped by Safety Rule S07 (max 5 percent per week).</t>
  </si>
  <si>
    <t xml:space="preserve">progression_state.current_load_kg up, current_rep_target reset to reps_min, sessions_at_current=0, stall_count=0</t>
  </si>
  <si>
    <t xml:space="preserve">PR02</t>
  </si>
  <si>
    <t xml:space="preserve">progress reps (up)</t>
  </si>
  <si>
    <t xml:space="preserve">Non-loadable exercise (bodyweight, band with no more tension), user hit reps_max at target RIR</t>
  </si>
  <si>
    <t xml:space="preserve">Add reps beyond reps_max up to a soft ceiling, then slow the lowering phase, then progress to a harder variation via Substitutions (higher skill, same group).</t>
  </si>
  <si>
    <t xml:space="preserve">current_rep_target up, or variation swap logged</t>
  </si>
  <si>
    <t xml:space="preserve">PR03</t>
  </si>
  <si>
    <t xml:space="preserve">hold</t>
  </si>
  <si>
    <t xml:space="preserve">User completed the session inside the rep range but not at the top, at target RIR</t>
  </si>
  <si>
    <t xml:space="preserve">Repeat the same prescription next session. No change.</t>
  </si>
  <si>
    <t xml:space="preserve">sessions_at_current +1</t>
  </si>
  <si>
    <t xml:space="preserve">PR04</t>
  </si>
  <si>
    <t xml:space="preserve">reduce (down)</t>
  </si>
  <si>
    <t xml:space="preserve">User missed reps_min, or reported RIR 0 or failure on 2+ sets, or form broke down</t>
  </si>
  <si>
    <t xml:space="preserve">Reduce load by 10 percent (loadable) or reps toward reps_min (non-loadable). Rebuild from there. Never drop below the exercise floor.</t>
  </si>
  <si>
    <t xml:space="preserve">current_load_kg down 10 percent, stall_count +1</t>
  </si>
  <si>
    <t xml:space="preserve">PR05</t>
  </si>
  <si>
    <t xml:space="preserve">stall</t>
  </si>
  <si>
    <t xml:space="preserve">Same exercise fails to progress for 3 consecutive sessions (stall_count reaches 3)</t>
  </si>
  <si>
    <t xml:space="preserve">Trigger a deload on that exercise: cut sets 40 percent and load 10 percent for one session (Safety Rule F01 style), then resume. If it stalls again after the deload, offer a substitute of equal difficulty for variety.</t>
  </si>
  <si>
    <t xml:space="preserve">deload_count +1, stall_count reset to 0</t>
  </si>
  <si>
    <t xml:space="preserve">PR06</t>
  </si>
  <si>
    <t xml:space="preserve">fatigue override</t>
  </si>
  <si>
    <t xml:space="preserve">User logs RPE 10 or failure on 3+ sets in a session, or flags poor sleep or a missed prior session</t>
  </si>
  <si>
    <t xml:space="preserve">Do not progress this session regardless of PR01/PR02. Apply Safety Rules F02/F03: hold or reduce, raise rir_min by 1. Progression resumes when fatigue clears.</t>
  </si>
  <si>
    <t xml:space="preserve">no progression written, fatigue flag noted</t>
  </si>
  <si>
    <t xml:space="preserve">PR07</t>
  </si>
  <si>
    <t xml:space="preserve">new exercise starting load</t>
  </si>
  <si>
    <t xml:space="preserve">An exercise the user has never done (fresh program, or a swap)</t>
  </si>
  <si>
    <t xml:space="preserve">Do not guess heavy. Start at an estimate from a similar logged lift if one exists, otherwise start light at RIR 4 to 5 and let the user find the working weight over 2 sessions (Safety Rule P01).</t>
  </si>
  <si>
    <t xml:space="preserve">progression_state row created, first 2 sessions marked as calibration</t>
  </si>
  <si>
    <t xml:space="preserve">PR08</t>
  </si>
  <si>
    <t xml:space="preserve">beginner ramp</t>
  </si>
  <si>
    <t xml:space="preserve">User is in their first 4 weeks</t>
  </si>
  <si>
    <t xml:space="preserve">Progress conservatively: rir_min stays at 2, load increments at the bottom of the range, add reps before load. Block Advanced and Power classes (Safety Rule P01).</t>
  </si>
  <si>
    <t xml:space="preserve">standard state writes, capped increments</t>
  </si>
  <si>
    <t xml:space="preserve">PR01 says 'add the smallest available increment'. What is available depends on the equipment, not the muscle. The engine rounds the target load to the nearest achievable increment for that equipment before writing it.</t>
  </si>
  <si>
    <t xml:space="preserve">equipment_type</t>
  </si>
  <si>
    <t xml:space="preserve">min_increment</t>
  </si>
  <si>
    <t xml:space="preserve">rounding_rule</t>
  </si>
  <si>
    <t xml:space="preserve">2.5 kg total</t>
  </si>
  <si>
    <t xml:space="preserve">Round to nearest 2.5 kg (1.25 kg plate per side). 5 kg jumps for lower-body compounds once past the beginner ramp.</t>
  </si>
  <si>
    <t xml:space="preserve">2 to 2.5 kg per hand</t>
  </si>
  <si>
    <t xml:space="preserve">Round to the gym's available dumbbell steps; many go up in 2 kg. If the next dumbbell is too big a jump, add reps first.</t>
  </si>
  <si>
    <t xml:space="preserve">fixed_machine</t>
  </si>
  <si>
    <t xml:space="preserve">1 plate on the stack</t>
  </si>
  <si>
    <t xml:space="preserve">Round to one stack plate. If one plate is too large a jump, add reps or use the half-plate pin if present.</t>
  </si>
  <si>
    <t xml:space="preserve">cable</t>
  </si>
  <si>
    <t xml:space="preserve">Same as machine. Cable stacks often start smaller, so increments are gentler.</t>
  </si>
  <si>
    <t xml:space="preserve">add reps, then tempo, then harder variation</t>
  </si>
  <si>
    <t xml:space="preserve">No external load. Progress via PR02, not PR01.</t>
  </si>
  <si>
    <t xml:space="preserve">next band level</t>
  </si>
  <si>
    <t xml:space="preserve">Discrete jumps; add reps within a band before moving up a level, the jump between bands is large.</t>
  </si>
  <si>
    <t xml:space="preserve">reduce assistance by 2.5 to 5 kg</t>
  </si>
  <si>
    <t xml:space="preserve">Less assistance means more of your own bodyweight. Progress by removing assistance, not adding load.</t>
  </si>
  <si>
    <t xml:space="preserve">Non-weight progression: duration exercises progress by seconds up to the Time cap (60s), interval exercises by rounds then work-interval length, carries by distance or time, assisted exercises by reducing assistance. The engine reads measurement_type to know which value to move.</t>
  </si>
  <si>
    <t xml:space="preserve">Safety and Programming Rules</t>
  </si>
  <si>
    <t xml:space="preserve">Applied after the Prescription Grid lookup, in ascending numeric priority (the rule_id prefix is a label, priority is the sort key). HARD_SAFETY rules can block or rewrite a session and are never overridden by any goal, preference or prompt. PROGRAM_DEFAULT and FATIGUE_ADJUSTMENT rules are coaching defaults with named exemptions.</t>
  </si>
  <si>
    <t xml:space="preserve">rule_type</t>
  </si>
  <si>
    <t xml:space="preserve">applies_to</t>
  </si>
  <si>
    <t xml:space="preserve">action</t>
  </si>
  <si>
    <t xml:space="preserve">plain_english</t>
  </si>
  <si>
    <t xml:space="preserve">S01</t>
  </si>
  <si>
    <t xml:space="preserve">HARD_SAFETY</t>
  </si>
  <si>
    <t xml:space="preserve">skill_level = Advanced</t>
  </si>
  <si>
    <t xml:space="preserve">user_experience below Advanced</t>
  </si>
  <si>
    <t xml:space="preserve">Do not serve. Walk the Substitutions list in priority order and return the first entry compatible with the user's skill level, equipment, restrictions and exclusion history.</t>
  </si>
  <si>
    <t xml:space="preserve">Advanced lifts are never given to a beginner. The app walks the swap list until it finds one the user can actually and safely do.</t>
  </si>
  <si>
    <t xml:space="preserve">S02</t>
  </si>
  <si>
    <t xml:space="preserve">prescription_class = Power</t>
  </si>
  <si>
    <t xml:space="preserve">any goal</t>
  </si>
  <si>
    <t xml:space="preserve">Force rir_min to 2 or higher. End set if movement speed or landing quality drops.</t>
  </si>
  <si>
    <t xml:space="preserve">Explosive lifts are never taken to failure. A failed jump squat is a fall.</t>
  </si>
  <si>
    <t xml:space="preserve">S03</t>
  </si>
  <si>
    <t xml:space="preserve">Failure Allowed = No</t>
  </si>
  <si>
    <t xml:space="preserve">Force rir_min to the exercise Min RIR or higher.</t>
  </si>
  <si>
    <t xml:space="preserve">Free weight compounds, Power lifts and Advanced lifts always stop short of failure. Nobody fails a squat alone in a university gym.</t>
  </si>
  <si>
    <t xml:space="preserve">S04</t>
  </si>
  <si>
    <t xml:space="preserve">prescription_class = Load</t>
  </si>
  <si>
    <t xml:space="preserve">reps below 4 or load above 88% 1RM</t>
  </si>
  <si>
    <t xml:space="preserve">Clamp reps_min to 4 and pct_1rm_max to 88.</t>
  </si>
  <si>
    <t xml:space="preserve">The app never prescribes a near maximal single, double or triple. That needs a coach and a spotter in the room.</t>
  </si>
  <si>
    <t xml:space="preserve">S05</t>
  </si>
  <si>
    <t xml:space="preserve">all exercises</t>
  </si>
  <si>
    <t xml:space="preserve">user has not completed pre exercise screening</t>
  </si>
  <si>
    <t xml:space="preserve">Block program generation. Run the screening flow. Route on the outcome per the Screening Outcomes sheet.</t>
  </si>
  <si>
    <t xml:space="preserve">Everybody is screened before a single set is prescribed, and the screening outcome decides what happens next. Screening alone does not guarantee safety.</t>
  </si>
  <si>
    <t xml:space="preserve">S06</t>
  </si>
  <si>
    <t xml:space="preserve">stop symptom reported: chest pain or discomfort, dizziness, fainting, unusual shortness of breath, palpitations, numbness or tingling, sharp joint pain</t>
  </si>
  <si>
    <t xml:space="preserve">End the session immediately. Show the stop message. Do not generate further sessions until the user confirms symptoms resolved, or professional clearance where the Screening Outcomes sheet requires it.</t>
  </si>
  <si>
    <t xml:space="preserve">Symptoms are never trained through. Chest pain, dizziness and fainting also prompt the user to seek medical advice.</t>
  </si>
  <si>
    <t xml:space="preserve">S07</t>
  </si>
  <si>
    <t xml:space="preserve">weekly load increase</t>
  </si>
  <si>
    <t xml:space="preserve">Cap load increase at 5 percent per week per exercise, or 2.5kg upper and 5kg lower body, whichever is smaller.</t>
  </si>
  <si>
    <t xml:space="preserve">Slow progression is the safe kind. Big jumps are how people get hurt.</t>
  </si>
  <si>
    <t xml:space="preserve">S08</t>
  </si>
  <si>
    <t xml:space="preserve">required equipment not available to the user</t>
  </si>
  <si>
    <t xml:space="preserve">Walk the Substitutions list and return the first compatible entry.</t>
  </si>
  <si>
    <t xml:space="preserve">The app never prescribes gear the user does not have.</t>
  </si>
  <si>
    <t xml:space="preserve">S09</t>
  </si>
  <si>
    <t xml:space="preserve">Spotter Recommended = Yes</t>
  </si>
  <si>
    <t xml:space="preserve">user trains alone</t>
  </si>
  <si>
    <t xml:space="preserve">Serve the highest priority substitute that does not need a spotter, or attach the no spotter safety cue (no collars on bench, safeties set in the rack).</t>
  </si>
  <si>
    <t xml:space="preserve">Barbell bench and back squat variations get a spotter or a safe setup, never neither.</t>
  </si>
  <si>
    <t xml:space="preserve">P01</t>
  </si>
  <si>
    <t xml:space="preserve">PROGRAM_DEFAULT</t>
  </si>
  <si>
    <t xml:space="preserve">user_experience = Beginner</t>
  </si>
  <si>
    <t xml:space="preserve">first 4 weeks</t>
  </si>
  <si>
    <t xml:space="preserve">Force rir_min to 2. Block Advanced and Power classes. Start every load light, around RIR 4 to 5 in week one, and work up over two sessions.</t>
  </si>
  <si>
    <t xml:space="preserve">New lifters build the movement first, then the effort, then the load.</t>
  </si>
  <si>
    <t xml:space="preserve">P02</t>
  </si>
  <si>
    <t xml:space="preserve">prescription_class = Load or Rep</t>
  </si>
  <si>
    <t xml:space="preserve">rest below 45 seconds outside Fat Loss circuits and Interval work</t>
  </si>
  <si>
    <t xml:space="preserve">Raise rest_sec_min to 45.</t>
  </si>
  <si>
    <t xml:space="preserve">A default, not a law. Fat Loss circuits and Intervals are exempt because short rest is the point there.</t>
  </si>
  <si>
    <t xml:space="preserve">P03</t>
  </si>
  <si>
    <t xml:space="preserve">prescription_class = Time</t>
  </si>
  <si>
    <t xml:space="preserve">Cap duration_sec_max at 60.</t>
  </si>
  <si>
    <t xml:space="preserve">Past a minute the hold trains endurance, not the target muscle. A preference, not a safety fact.</t>
  </si>
  <si>
    <t xml:space="preserve">F01</t>
  </si>
  <si>
    <t xml:space="preserve">FATIGUE_ADJUSTMENT</t>
  </si>
  <si>
    <t xml:space="preserve">6 completed training weeks, OR 2 consecutive weeks of stalled progression, rising logged RPE, or persistent soreness</t>
  </si>
  <si>
    <t xml:space="preserve">Offer a deload week (cut sets 40 percent, hold load, raise rir_min by 1). At 6 weeks it is a prompt the user can accept or defer once; on fatigue signals it is applied.</t>
  </si>
  <si>
    <t xml:space="preserve">A planned easy week, offered not forced at the 6 week mark, applied when the body actually shows fatigue. Recovery matters but rigid rules hurt adherence.</t>
  </si>
  <si>
    <t xml:space="preserve">F02</t>
  </si>
  <si>
    <t xml:space="preserve">user logs RPE 10 or failure on 3 or more sets in a session</t>
  </si>
  <si>
    <t xml:space="preserve">Reduce next session sets by 1 and raise rir_min by 1.</t>
  </si>
  <si>
    <t xml:space="preserve">Pull the user back before they dig a hole.</t>
  </si>
  <si>
    <t xml:space="preserve">F03</t>
  </si>
  <si>
    <t xml:space="preserve">user reports poor sleep or a missed session</t>
  </si>
  <si>
    <t xml:space="preserve">Raise rir_min by 1 for that session.</t>
  </si>
  <si>
    <t xml:space="preserve">An easier session done beats a hard session skipped.</t>
  </si>
  <si>
    <t xml:space="preserve">The pre exercise screening (modelled on the Adult Pre Exercise Screening System used in Australia) maps every user to exactly one outcome before anything is generated. Completing the screen does not itself guarantee safety, which is why outcomes route to professionals rather than to a softer program.</t>
  </si>
  <si>
    <t xml:space="preserve">outcome</t>
  </si>
  <si>
    <t xml:space="preserve">triggered_by</t>
  </si>
  <si>
    <t xml:space="preserve">generator_action</t>
  </si>
  <si>
    <t xml:space="preserve">note</t>
  </si>
  <si>
    <t xml:space="preserve">CLEAR</t>
  </si>
  <si>
    <t xml:space="preserve">No flags on the pre exercise screening questionnaire.</t>
  </si>
  <si>
    <t xml:space="preserve">Generate the program normally.</t>
  </si>
  <si>
    <t xml:space="preserve">No restriction.</t>
  </si>
  <si>
    <t xml:space="preserve">MODIFY_AND_CONTINUE</t>
  </si>
  <si>
    <t xml:space="preserve">A joint or soft tissue flag (screening q5) that the FOLLOW-UPS confirm is minor: not currently painful, not under active professional treatment, exercise not restricted, issue resolved or stable. Also: low activity history, mild niggles without current pain.</t>
  </si>
  <si>
    <t xml:space="preserve">Generate with modifications: raise rir_min by 1, block Power class, prefer low impact and machine or supported variations for the flagged region, exclude exercises the user marks as aggravating. Apply the flagged region's row from the Injury Modifications sheet to every session.</t>
  </si>
  <si>
    <t xml:space="preserve">Modifications stay on until the user reports 4 symptom free weeks.</t>
  </si>
  <si>
    <t xml:space="preserve">REQUIRE_PROFESSIONAL_CLEARANCE</t>
  </si>
  <si>
    <t xml:space="preserve">Flags needing a professional first: any cardiovascular, metabolic or renal condition; chest pain or unusual breathlessness with activity; dizziness or fainting; pregnancy or birth within 6 months; recent surgery; OR a joint/soft tissue problem the follow-ups show is currently painful, under active treatment, or exercise-restricted.</t>
  </si>
  <si>
    <t xml:space="preserve">Do not generate a program. Show a message directing the user to a GP, physiotherapist or accredited exercise professional. Unlock generation only after the user confirms clearance, then apply any conditions the professional sets. Pregnancy follows its own clearance path, it is never treated as a generic injury flag.</t>
  </si>
  <si>
    <t xml:space="preserve">The app never decides that a gentler workout is safe enough for a flagged medical condition. A professional does.</t>
  </si>
  <si>
    <t xml:space="preserve">DO_NOT_GENERATE</t>
  </si>
  <si>
    <t xml:space="preserve">Acute red flags: current chest pain, symptoms at rest, a professional has advised against exercise.</t>
  </si>
  <si>
    <t xml:space="preserve">Block program generation entirely. Advise the user to seek medical care.</t>
  </si>
  <si>
    <t xml:space="preserve">Hard stop.</t>
  </si>
  <si>
    <t xml:space="preserve">Joint flag follow-ups (asked only when screening q5 = Yes)</t>
  </si>
  <si>
    <t xml:space="preserve">A bare yes/no joint question cannot decide the route. When q5 is Yes, ask these and route on the answers. Any answer in the 'to clearance' column sends the user to REQUIRE_PROFESSIONAL_CLEARANCE. If all are in the 'to modify' column, route to MODIFY_AND_CONTINUE and store the affected region.</t>
  </si>
  <si>
    <t xml:space="preserve">follow_up_question</t>
  </si>
  <si>
    <t xml:space="preserve">answer_to_modify</t>
  </si>
  <si>
    <t xml:space="preserve">answer_to_clearance</t>
  </si>
  <si>
    <t xml:space="preserve">Is the problem painful right now?</t>
  </si>
  <si>
    <t xml:space="preserve">No / mild and settling</t>
  </si>
  <si>
    <t xml:space="preserve">Yes, currently painful</t>
  </si>
  <si>
    <t xml:space="preserve">Is it being treated by a health professional?</t>
  </si>
  <si>
    <t xml:space="preserve">No / discharged</t>
  </si>
  <si>
    <t xml:space="preserve">Yes, under active treatment</t>
  </si>
  <si>
    <t xml:space="preserve">Have you been told to limit or avoid exercise?</t>
  </si>
  <si>
    <t xml:space="preserve">Yes, exercise restricted</t>
  </si>
  <si>
    <t xml:space="preserve">Is the issue resolved, or still active?</t>
  </si>
  <si>
    <t xml:space="preserve">Resolved or stable</t>
  </si>
  <si>
    <t xml:space="preserve">Still active / flaring</t>
  </si>
  <si>
    <t xml:space="preserve">Which movements make it worse? (free text)</t>
  </si>
  <si>
    <t xml:space="preserve">Stored as affected_region for SW02 filtering</t>
  </si>
  <si>
    <t xml:space="preserve">Free-text red-flag scan ('anything else we should know?')</t>
  </si>
  <si>
    <t xml:space="preserve">The optional free-text box is scanned before it is treated as harmless. If it mentions a cardiac, neurological, respiratory or metabolic condition, pregnancy, recent surgery, or medical-advice language ('my doctor said', 'I was told not to'), route the user to REQUIRE_PROFESSIONAL_CLEARANCE and do not generate until cleared. Otherwise store it as context. It is never a substitute for the seven screening questions.</t>
  </si>
  <si>
    <t xml:space="preserve">Deterministic rules for the MODIFY_AND_CONTINUE branch. When screening routes a user to MODIFY (a joint or soft-tissue flag the follow-ups confirmed is minor), the generator reads the row for the flagged region and applies it to every session. This is a fixed lookup, not model judgement: the same flag always produces the same constraints. The user's free-text 'which movements make it worse' adds nuance on top, but the floor below is guaranteed. exclude_ids are removed from selection entirely; downgrade means the exercise stays eligible only if no excluded_free alternative fills the slot, and then at raised RIR. All flagged-region exercises get rir_bump added to rir_min. This never overrides a HARD_SAFETY rule or a REQUIRE_PROFESSIONAL_CLEARANCE outcome.</t>
  </si>
  <si>
    <t xml:space="preserve">region</t>
  </si>
  <si>
    <t xml:space="preserve">matches_stress_region</t>
  </si>
  <si>
    <t xml:space="preserve">avoid_patterns</t>
  </si>
  <si>
    <t xml:space="preserve">prefer</t>
  </si>
  <si>
    <t xml:space="preserve">rir_bump</t>
  </si>
  <si>
    <t xml:space="preserve">exclude_ids</t>
  </si>
  <si>
    <t xml:space="preserve">downgrade_ids</t>
  </si>
  <si>
    <t xml:space="preserve">review_after</t>
  </si>
  <si>
    <t xml:space="preserve">lower_back</t>
  </si>
  <si>
    <t xml:space="preserve">Hinge (heavy), loaded spinal flexion/rotation under load</t>
  </si>
  <si>
    <t xml:space="preserve">Supported=Yes, machine and chest-supported variations, hip-dominant work without spinal load</t>
  </si>
  <si>
    <t xml:space="preserve">BK01, BK10, BK02, SH01, CO06</t>
  </si>
  <si>
    <t xml:space="preserve">HG01, BK12, BK13, QD01, QD06, HG07, HG08, FB01, FB02, FB07, FB11, CO14</t>
  </si>
  <si>
    <t xml:space="preserve">4 weeks</t>
  </si>
  <si>
    <t xml:space="preserve">The big free-weight hinges and standing barbell work come out first. Keep training the muscles through supported and machine options: chest-supported rows, leg press, hip thrust, back extension held short of end range.</t>
  </si>
  <si>
    <t xml:space="preserve">Deep knee flexion under load, high-impact jumping, plyometrics</t>
  </si>
  <si>
    <t xml:space="preserve">Supported=Yes, machine leg work, partial-range and hip-dominant options, Impact=Low only</t>
  </si>
  <si>
    <t xml:space="preserve">QD13, FB03, FB08, FB10, HG06</t>
  </si>
  <si>
    <t xml:space="preserve">QD01, QD06, QD03, QD04, QD08, QD11, QD10, QD14, FB05, FB06, FB09</t>
  </si>
  <si>
    <t xml:space="preserve">Cut jumping and deep loaded squats. Keep quads and hamstrings via leg press in a comfortable range, leg extension and curl machines, and hinge patterns that spare the knee.</t>
  </si>
  <si>
    <t xml:space="preserve">Overhead pressing, wide-grip and deep pressing, behind-neck work</t>
  </si>
  <si>
    <t xml:space="preserve">Neutral-grip and supported presses, rows over overhead work, partial range, Impact=Low</t>
  </si>
  <si>
    <t xml:space="preserve">SH01, SH08, CH10, BI05</t>
  </si>
  <si>
    <t xml:space="preserve">SH02, SH07, SH11, CH01, CH09, CH03, TR01, TR05, TR06, BK04, FB03, FB04, FB09</t>
  </si>
  <si>
    <t xml:space="preserve">Overhead and heavy flat pressing come out first. Keep chest and shoulders through neutral-grip dumbbell presses, machine presses in a pain-free range, and plenty of pulling. Rear-delt and rotator-friendly work is encouraged.</t>
  </si>
  <si>
    <t xml:space="preserve">wrist</t>
  </si>
  <si>
    <t xml:space="preserve">Loaded wrist extension, straight-bar pressing and curling, push-up positions</t>
  </si>
  <si>
    <t xml:space="preserve">Neutral-grip and machine options, straps or handles that keep the wrist neutral, avoid full weight-bearing on the hand</t>
  </si>
  <si>
    <t xml:space="preserve">CH04, TR06, SH08</t>
  </si>
  <si>
    <t xml:space="preserve">CH01, CH09, TR01, SH01, BI01, TR05</t>
  </si>
  <si>
    <t xml:space="preserve">Take out push-up positions and straight-bar work that force wrist extension. Machines, neutral-grip dumbbells and cables let the user keep training with a neutral wrist.</t>
  </si>
  <si>
    <t xml:space="preserve">hip</t>
  </si>
  <si>
    <t xml:space="preserve">Deep hip flexion under load, wide stance, explosive hinging</t>
  </si>
  <si>
    <t xml:space="preserve">Supported and machine work, moderate range, controlled tempo, Impact=Low</t>
  </si>
  <si>
    <t xml:space="preserve">QD13, FB01, FB11, FB08</t>
  </si>
  <si>
    <t xml:space="preserve">QD01, QD06, HG01, HG07, HG08, QD03, QD04, QD11, HG13</t>
  </si>
  <si>
    <t xml:space="preserve">Cut explosive and deep-range hip work. Keep legs and glutes through machine and supported options in a comfortable range, and single-leg work only if pain-free.</t>
  </si>
  <si>
    <t xml:space="preserve">High-impact jumping, hopping, running-based conditioning</t>
  </si>
  <si>
    <t xml:space="preserve">Low-impact conditioning (bike, rower, swim), seated calf work, stable-stance lifts</t>
  </si>
  <si>
    <t xml:space="preserve">CA04, FB03, FB08, FB10, QD13</t>
  </si>
  <si>
    <t xml:space="preserve">QD03, QD04, QD08, QD11, FB05, FB06, CA01, CA03</t>
  </si>
  <si>
    <t xml:space="preserve">Remove jumping and running-based conditioning. Swap to bike or rower for cardio, seated calf raises, and lifts taken from a stable stance. Standing calf and lunges return once pain-free.</t>
  </si>
  <si>
    <t xml:space="preserve">How the generator applies a row</t>
  </si>
  <si>
    <t xml:space="preserve">1. Screening + follow-ups route the user to MODIFY_AND_CONTINUE and record the affected region(s) from the Step 7 injury chip and the 'which movements make it worse' free text.</t>
  </si>
  <si>
    <t xml:space="preserve">2. For each flagged region, load its row here. Remove every exclude_id from the candidate pool. Mark every downgrade_id as last-resort (used only if a slot cannot otherwise be filled, and then at rir_min + rir_bump).</t>
  </si>
  <si>
    <t xml:space="preserve">3. Within every remaining slot, prefer candidates matching the 'prefer' column (Supported=Yes, Impact=Low, machine/neutral-grip as specified). Add rir_bump to rir_min for any exercise whose Stress Regions include matches_stress_region.</t>
  </si>
  <si>
    <t xml:space="preserve">4. If removing exclude_ids empties a required slot, walk the Substitutions list to the first compatible, non-excluded exercise. A required slot is never left unfilled; it is filled with a safer option.</t>
  </si>
  <si>
    <t xml:space="preserve">5. The free-text answer refines but never loosens the row: it can exclude more, never re-include an exclude_id.</t>
  </si>
  <si>
    <t xml:space="preserve">6. review_after: the modifications lift only when the user reports the region symptom-free for the stated period. Until then they persist on every regenerated session. Re-flagging the region resets the clock.</t>
  </si>
  <si>
    <t xml:space="preserve">7. Multiple regions stack: apply every flagged row. If the combined exclusions make a goal's volume impossible, reduce volume before re-including any excluded exercise, and tell the user their program is modified for their injuries.</t>
  </si>
  <si>
    <t xml:space="preserve">Scope limit: this sheet handles minor, self-managed flags that screening cleared for training. Anything painful now, under treatment, exercise-restricted or still active routes to REQUIRE_PROFESSIONAL_CLEARANCE and no program generates. These modification rules are a starting safety floor and must be reviewed by an accredited exercise professional before launch.</t>
  </si>
  <si>
    <t xml:space="preserve">Age decides which screening pathway runs, and it is collected as date_of_birth, never a defaulted number. Under-18s do not receive the adult screen. 16 to 17 year olds follow a young-person pathway with guardian consent and conservative training defaults. Under-16 is out of scope for launch and blocked. This routing runs before the screening questions.</t>
  </si>
  <si>
    <t xml:space="preserve">age_band</t>
  </si>
  <si>
    <t xml:space="preserve">ages</t>
  </si>
  <si>
    <t xml:space="preserve">pathway</t>
  </si>
  <si>
    <t xml:space="preserve">stored_fields</t>
  </si>
  <si>
    <t xml:space="preserve">adult</t>
  </si>
  <si>
    <t xml:space="preserve">18 and over</t>
  </si>
  <si>
    <t xml:space="preserve">Standard adult pre-exercise screening (7 questions). Route per Screening Outcomes.</t>
  </si>
  <si>
    <t xml:space="preserve">screening_version = adult_v1</t>
  </si>
  <si>
    <t xml:space="preserve">No guardian consent required.</t>
  </si>
  <si>
    <t xml:space="preserve">young_person</t>
  </si>
  <si>
    <t xml:space="preserve">16 to 17</t>
  </si>
  <si>
    <t xml:space="preserve">Use the young-person screening pathway (ESSA-style youth screen), not the adult flow. Require guardian consent before any program generates. Conservative defaults: block Advanced and Power classes, rir_min +1, load increments at the bottom of the range.</t>
  </si>
  <si>
    <t xml:space="preserve">screening_version = youth_v1, guardian_consent_required = true</t>
  </si>
  <si>
    <t xml:space="preserve">A minor is never silently defaulted into the adult flow.</t>
  </si>
  <si>
    <t xml:space="preserve">under_16</t>
  </si>
  <si>
    <t xml:space="preserve">Under 16</t>
  </si>
  <si>
    <t xml:space="preserve">Do not generate a program. The platform is not designed or screened for under-16s. Show a message explaining this.</t>
  </si>
  <si>
    <t xml:space="preserve">screening_version = none, blocked = true</t>
  </si>
  <si>
    <t xml:space="preserve">Hard stop. Out of scope for launch.</t>
  </si>
  <si>
    <t xml:space="preserve">unverified</t>
  </si>
  <si>
    <t xml:space="preserve">Age not provided or not verified</t>
  </si>
  <si>
    <t xml:space="preserve">Do not generate. Prompt for date of birth. Age is never defaulted for screening purposes.</t>
  </si>
  <si>
    <t xml:space="preserve">age_verified = false</t>
  </si>
  <si>
    <t xml:space="preserve">The old 'default to 20' behaviour is removed.</t>
  </si>
  <si>
    <t xml:space="preserve">Training Splits</t>
  </si>
  <si>
    <t xml:space="preserve">The splits the generator can serve. day_structure is pipe separated day types, each mapping to a Session Templates row set. best_for_goals and experience are pipe separated tokens, 'All' matches everything. Conditioning is a first class day type (Cond) with its own template, so Interval prescriptions always have a deterministic home. Rest days fill the remaining calendar days per Schedule Rules.</t>
  </si>
  <si>
    <t xml:space="preserve">split_id</t>
  </si>
  <si>
    <t xml:space="preserve">name</t>
  </si>
  <si>
    <t xml:space="preserve">days_min</t>
  </si>
  <si>
    <t xml:space="preserve">days_max</t>
  </si>
  <si>
    <t xml:space="preserve">day_structure</t>
  </si>
  <si>
    <t xml:space="preserve">best_for_goals</t>
  </si>
  <si>
    <t xml:space="preserve">experience</t>
  </si>
  <si>
    <t xml:space="preserve">why</t>
  </si>
  <si>
    <t xml:space="preserve">FB1</t>
  </si>
  <si>
    <t xml:space="preserve">Full Body x1</t>
  </si>
  <si>
    <t xml:space="preserve">Full</t>
  </si>
  <si>
    <t xml:space="preserve">All</t>
  </si>
  <si>
    <t xml:space="preserve">One quality full body session. Not optimal, vastly better than nothing, and honest about it.</t>
  </si>
  <si>
    <t xml:space="preserve">FB2</t>
  </si>
  <si>
    <t xml:space="preserve">Full Body x2</t>
  </si>
  <si>
    <t xml:space="preserve">Full|Full</t>
  </si>
  <si>
    <t xml:space="preserve">Every muscle twice a week in two sessions. The most efficient use of two gym days that exists.</t>
  </si>
  <si>
    <t xml:space="preserve">FB3</t>
  </si>
  <si>
    <t xml:space="preserve">Full Body x3</t>
  </si>
  <si>
    <t xml:space="preserve">Full|Full|Full</t>
  </si>
  <si>
    <t xml:space="preserve">Beginner|Intermediate</t>
  </si>
  <si>
    <t xml:space="preserve">Three full body days with a rest day between each. The default for beginners.</t>
  </si>
  <si>
    <t xml:space="preserve">FB3C</t>
  </si>
  <si>
    <t xml:space="preserve">Full Body x3 + Conditioning</t>
  </si>
  <si>
    <t xml:space="preserve">Full|Full|Full|Cond</t>
  </si>
  <si>
    <t xml:space="preserve">Fat Loss|General Fitness</t>
  </si>
  <si>
    <t xml:space="preserve">The beginner friendly four day week: three full body days plus a dedicated conditioning day.</t>
  </si>
  <si>
    <t xml:space="preserve">PPL3</t>
  </si>
  <si>
    <t xml:space="preserve">Push Pull Legs (rotating)</t>
  </si>
  <si>
    <t xml:space="preserve">Push|Pull|Legs</t>
  </si>
  <si>
    <t xml:space="preserve">Hypertrophy|General Fitness</t>
  </si>
  <si>
    <t xml:space="preserve">Intermediate|Advanced</t>
  </si>
  <si>
    <t xml:space="preserve">Classic three way split, each muscle once per week directly. Focused sessions over maximum frequency.</t>
  </si>
  <si>
    <t xml:space="preserve">UL4</t>
  </si>
  <si>
    <t xml:space="preserve">Upper Lower</t>
  </si>
  <si>
    <t xml:space="preserve">Upper|Lower|Upper|Lower</t>
  </si>
  <si>
    <t xml:space="preserve">Every muscle twice a week with sessions under an hour. The best default for four days.</t>
  </si>
  <si>
    <t xml:space="preserve">UL4C1</t>
  </si>
  <si>
    <t xml:space="preserve">Upper Lower + Conditioning</t>
  </si>
  <si>
    <t xml:space="preserve">Upper|Lower|Upper|Lower|Cond</t>
  </si>
  <si>
    <t xml:space="preserve">Strength|Fat Loss|General Fitness</t>
  </si>
  <si>
    <t xml:space="preserve">Four lifting days plus a dedicated conditioning day. The five day answer outside hypertrophy.</t>
  </si>
  <si>
    <t xml:space="preserve">UL4C2</t>
  </si>
  <si>
    <t xml:space="preserve">Upper Lower + 2 Conditioning</t>
  </si>
  <si>
    <t xml:space="preserve">Upper|Lower|Upper|Lower|Cond|Cond</t>
  </si>
  <si>
    <t xml:space="preserve">Four lifting days, two conditioning days. For users who want six active days without six lifting days.</t>
  </si>
  <si>
    <t xml:space="preserve">UL5</t>
  </si>
  <si>
    <t xml:space="preserve">Upper Lower + Focus</t>
  </si>
  <si>
    <t xml:space="preserve">Upper|Lower|Upper|Lower|Focus</t>
  </si>
  <si>
    <t xml:space="preserve">Upper Lower base with a fifth day built entirely from the user's focal points.</t>
  </si>
  <si>
    <t xml:space="preserve">PPL6</t>
  </si>
  <si>
    <t xml:space="preserve">Push Pull Legs x2</t>
  </si>
  <si>
    <t xml:space="preserve">Push|Pull|Legs|Push|Pull|Legs</t>
  </si>
  <si>
    <t xml:space="preserve">Everything twice a week at high volume. Only for users who genuinely train six days.</t>
  </si>
  <si>
    <t xml:space="preserve">What happens when the user wants a structure the Splits sheet does not list, like Push Pull Legs Push. The design principle: a custom split compiles down to the same day_structure format as a preset, is validated by these rules, and then flows through Session Templates, Weekly Volume, Prescription Logic and Safety Rules identically. No special cases downstream.</t>
  </si>
  <si>
    <t xml:space="preserve">rule</t>
  </si>
  <si>
    <t xml:space="preserve">CS01</t>
  </si>
  <si>
    <t xml:space="preserve">allowed building blocks</t>
  </si>
  <si>
    <t xml:space="preserve">A custom split is any ordered sequence of known day types (Push, Pull, Legs, Upper, Lower, Full, Focus, Cond) with length equal to the user's lifting days. It is stored as a day_structure string, exactly like the preset splits, so every downstream sheet works unchanged.</t>
  </si>
  <si>
    <t xml:space="preserve">Push Pull Legs Push is just 'Push|Pull|Legs|Push'. Nothing downstream needs to know it was custom.</t>
  </si>
  <si>
    <t xml:space="preserve">CS02</t>
  </si>
  <si>
    <t xml:space="preserve">coverage check</t>
  </si>
  <si>
    <t xml:space="preserve">Every major muscle group must be hit directly at least once per week. If the sequence leaves a muscle at zero (Push Push Pull Push has no leg work), warn the user, and offer to convert one repeated day. If they insist, add the missing pattern as required slots on the closest day and note it on the program.</t>
  </si>
  <si>
    <t xml:space="preserve">The user can bias hard toward what they love, but nothing gets trained zero times without them being told.</t>
  </si>
  <si>
    <t xml:space="preserve">CS03</t>
  </si>
  <si>
    <t xml:space="preserve">repeat spacing</t>
  </si>
  <si>
    <t xml:space="preserve">Repeated day types obey SCH03: at least 48 hours apart. 'Push|Push|Pull|Legs' is rearranged or rejected, 'Push|Pull|Legs|Push' is fine.</t>
  </si>
  <si>
    <t xml:space="preserve">You can press twice a week, just not on consecutive days.</t>
  </si>
  <si>
    <t xml:space="preserve">CS04</t>
  </si>
  <si>
    <t xml:space="preserve">volume is shared, not doubled</t>
  </si>
  <si>
    <t xml:space="preserve">When a day type repeats, the weekly set budget for its muscles is split across the instances, not paid twice. The second instance also draws different exercises: the generator excludes slot picks already used that week and fills from different angles (flat becomes incline, barbell becomes dumbbell or cable).</t>
  </si>
  <si>
    <t xml:space="preserve">A second Push day means more variety at the same weekly budget, unless the muscle is a declared focal point, in which case the focal adjustment from Weekly Volume applies on top.</t>
  </si>
  <si>
    <t xml:space="preserve">CS05</t>
  </si>
  <si>
    <t xml:space="preserve">caps still apply</t>
  </si>
  <si>
    <t xml:space="preserve">Weekly Volume caps, all HARD_SAFETY rules, screening outcomes and the session budget apply to custom splits with no exceptions. A custom split changes which days exist, never how hard any muscle may be pushed.</t>
  </si>
  <si>
    <t xml:space="preserve">Custom means custom structure, not custom safety.</t>
  </si>
  <si>
    <t xml:space="preserve">CS06</t>
  </si>
  <si>
    <t xml:space="preserve">free text mapping</t>
  </si>
  <si>
    <t xml:space="preserve">If the user describes a split in words ('bro split', 'chest day Monday', 'arms twice a week'), the AI maps it to day types: a single muscle day maps to a Focus day for that muscle, 'arms twice' adds Biceps and Triceps as focal points on two days. If it cannot map the request, it offers the two nearest presets and explains the difference in one sentence each.</t>
  </si>
  <si>
    <t xml:space="preserve">Whatever the user asks for, they leave with a valid day_structure string. For common de-emphasis requests (e.g. 'legs once a week') use the Custom Split Resolution table for a deterministic day_structure rather than choosing freehand.</t>
  </si>
  <si>
    <t xml:space="preserve">CS07</t>
  </si>
  <si>
    <t xml:space="preserve">experience gate</t>
  </si>
  <si>
    <t xml:space="preserve">Custom splits are offered to Intermediate and Advanced users. Beginners asking for one get it honoured where CS02 passes, with a one line note that the preset would serve them better, and never more push back than that.</t>
  </si>
  <si>
    <t xml:space="preserve">Guide, do not gatekeep. It is their program.</t>
  </si>
  <si>
    <t xml:space="preserve">Custom Split Resolution</t>
  </si>
  <si>
    <t xml:space="preserve">Turns a fuzzy structural request into a specific day_structure, so the same request always resolves the same way. The AI matches the user's day count and what they want to de-emphasise or emphasise, reads the resolved day_structure, then validates it through Custom Split Rules (coverage, 48-hour spacing, shared volume). If the user's phrasing does not match a row, offer the two nearest rows and let them pick. The resolved structure still passes through every safety and volume rule unchanged. This table decides STRUCTURE only, never how hard anything is trained.</t>
  </si>
  <si>
    <t xml:space="preserve">days_per_week</t>
  </si>
  <si>
    <t xml:space="preserve">user_request</t>
  </si>
  <si>
    <t xml:space="preserve">resolved_day_structure</t>
  </si>
  <si>
    <t xml:space="preserve">none / balanced</t>
  </si>
  <si>
    <t xml:space="preserve">Two days is always full body. Nothing to bias.</t>
  </si>
  <si>
    <t xml:space="preserve">Default 3-day. Everything 3x if beginner, or PPL by preference.</t>
  </si>
  <si>
    <t xml:space="preserve">legs once</t>
  </si>
  <si>
    <t xml:space="preserve">Upper|Push|Lower</t>
  </si>
  <si>
    <t xml:space="preserve">One lower day, two upper-focused days. Legs hit once, directly.</t>
  </si>
  <si>
    <t xml:space="preserve">upper once / legs focus</t>
  </si>
  <si>
    <t xml:space="preserve">Lower|Upper|Lower</t>
  </si>
  <si>
    <t xml:space="preserve">Two lower days, one upper day. Upper muscles hit once, legs twice.</t>
  </si>
  <si>
    <t xml:space="preserve">push emphasis</t>
  </si>
  <si>
    <t xml:space="preserve">Push|Pull|Lower</t>
  </si>
  <si>
    <t xml:space="preserve">One of each, push gets the freshest day.</t>
  </si>
  <si>
    <t xml:space="preserve">Default 4-day. Everything twice.</t>
  </si>
  <si>
    <t xml:space="preserve">Push|Pull|Upper|Lower</t>
  </si>
  <si>
    <t xml:space="preserve">One lower day, three upper-focused days. Legs hit once, upper muscles twice or more.</t>
  </si>
  <si>
    <t xml:space="preserve">Lower|Lower|Push|Pull</t>
  </si>
  <si>
    <t xml:space="preserve">Two lower days plus push and pull. Legs emphasised.</t>
  </si>
  <si>
    <t xml:space="preserve">push/pull preference (2 push 1 pull 1 leg)</t>
  </si>
  <si>
    <t xml:space="preserve">Push|Pull|Push|Lower</t>
  </si>
  <si>
    <t xml:space="preserve">Honours a push-biased week with legs still once.</t>
  </si>
  <si>
    <t xml:space="preserve">Default 5-day with a focal day.</t>
  </si>
  <si>
    <t xml:space="preserve">Push|Pull|Upper|Focus|Lower</t>
  </si>
  <si>
    <t xml:space="preserve">One lower day, upper volume spread across four days.</t>
  </si>
  <si>
    <t xml:space="preserve">legs focus</t>
  </si>
  <si>
    <t xml:space="preserve">Lower|Upper|Lower|Push|Pull</t>
  </si>
  <si>
    <t xml:space="preserve">Two lower days across five.</t>
  </si>
  <si>
    <t xml:space="preserve">Default 6-day PPL, everything twice.</t>
  </si>
  <si>
    <t xml:space="preserve">Push|Pull|Upper|Push|Pull|Lower</t>
  </si>
  <si>
    <t xml:space="preserve">Legs once across six days, everything else high frequency.</t>
  </si>
  <si>
    <t xml:space="preserve">Split Selector</t>
  </si>
  <si>
    <t xml:space="preserve">Decision table. Match on days_per_week, then experience, then goal, first matching row wins. experience and goal are pipe separated tokens, 'All' matches everything. Focal points never change the split, they change slot filling and Weekly Volume distribution.</t>
  </si>
  <si>
    <t xml:space="preserve">reason</t>
  </si>
  <si>
    <t xml:space="preserve">One day only ever gets full body.</t>
  </si>
  <si>
    <t xml:space="preserve">Two days, full body both.</t>
  </si>
  <si>
    <t xml:space="preserve">Beginners get the pattern practice of three full body days.</t>
  </si>
  <si>
    <t xml:space="preserve">Strength|General Fitness|Fat Loss</t>
  </si>
  <si>
    <t xml:space="preserve">Frequency beats session focus for these goals.</t>
  </si>
  <si>
    <t xml:space="preserve">Full body three times hits every muscle at least twice a week, the current strength standard. PPL3 stays available as an opt-in preference for users who prefer it.</t>
  </si>
  <si>
    <t xml:space="preserve">Three lifting days plus a real conditioning day suits a deficit better than four lifting days.</t>
  </si>
  <si>
    <t xml:space="preserve">Strength|Hypertrophy|General Fitness</t>
  </si>
  <si>
    <t xml:space="preserve">Upper Lower is the four day answer.</t>
  </si>
  <si>
    <t xml:space="preserve">A beginner's fifth day is conditioning, not more lifting.</t>
  </si>
  <si>
    <t xml:space="preserve">The fifth day is built from focal points.</t>
  </si>
  <si>
    <t xml:space="preserve">Four lifting days plus one conditioning day.</t>
  </si>
  <si>
    <t xml:space="preserve">Beginners are not served six training days. Four is the ceiling.</t>
  </si>
  <si>
    <t xml:space="preserve">Six real training days, everything twice.</t>
  </si>
  <si>
    <t xml:space="preserve">Four lifting days, two conditioning days.</t>
  </si>
  <si>
    <t xml:space="preserve">Goal Change (runtime)</t>
  </si>
  <si>
    <t xml:space="preserve">What happens when the user changes their goal mid-program. The engine re-runs the parts of the Generator Flow that depend on goal (split selection, volume budget, prescription) while preserving everything that does not (logged loads, progression history, schedule, screening). The user's strength gains and history are never thrown away by a goal change, and intensity never spikes: a single easy transition week absorbs the shift. A goal change always creates a new program version.</t>
  </si>
  <si>
    <t xml:space="preserve">phase</t>
  </si>
  <si>
    <t xml:space="preserve">trigger_or_scope</t>
  </si>
  <si>
    <t xml:space="preserve">principle</t>
  </si>
  <si>
    <t xml:space="preserve">GC01</t>
  </si>
  <si>
    <t xml:space="preserve">detect</t>
  </si>
  <si>
    <t xml:space="preserve">User tells the coach they want a different goal, or edits it in settings</t>
  </si>
  <si>
    <t xml:space="preserve">Confirm the new canonical goal (Strength, Hypertrophy, Fat Loss, General Fitness) and that they want to change now versus at the next block.</t>
  </si>
  <si>
    <t xml:space="preserve">Ask once, do not nag. The user owns their goal.</t>
  </si>
  <si>
    <t xml:space="preserve">GC02</t>
  </si>
  <si>
    <t xml:space="preserve">re-select split</t>
  </si>
  <si>
    <t xml:space="preserve">New goal may change the best split (e.g. Fat Loss favours a conditioning day, Hypertrophy favours PPL or focus)</t>
  </si>
  <si>
    <t xml:space="preserve">Re-run the Split Selector with the new goal and the user's existing days and experience. If the split_id changes, show the user the new structure before applying.</t>
  </si>
  <si>
    <t xml:space="preserve">The calendar and commitments carry over, only the day structure may change.</t>
  </si>
  <si>
    <t xml:space="preserve">GC03</t>
  </si>
  <si>
    <t xml:space="preserve">re-budget volume</t>
  </si>
  <si>
    <t xml:space="preserve">Weekly set targets differ by goal</t>
  </si>
  <si>
    <t xml:space="preserve">Re-read Weekly Volume for the new goal and experience. Re-run reconciliation. Re-apply focal points and commitment cuts.</t>
  </si>
  <si>
    <t xml:space="preserve">Volume shifts gradually, do not spike total sets more than 20 percent week over week.</t>
  </si>
  <si>
    <t xml:space="preserve">GC04</t>
  </si>
  <si>
    <t xml:space="preserve">re-prescribe</t>
  </si>
  <si>
    <t xml:space="preserve">Each exercise's sets, reps, RIR and rest come from the Goal|Class grid row</t>
  </si>
  <si>
    <t xml:space="preserve">Look up the new Goal|Class prescription for every exercise in the program. Re-clamp against Min RIR, Failure Allowed and all Safety Rules.</t>
  </si>
  <si>
    <t xml:space="preserve">Exercise selection can largely stay; the prescription around it changes.</t>
  </si>
  <si>
    <t xml:space="preserve">GC05</t>
  </si>
  <si>
    <t xml:space="preserve">preserve strength gains</t>
  </si>
  <si>
    <t xml:space="preserve">A user moving to Fat Loss should not lose the muscle they built</t>
  </si>
  <si>
    <t xml:space="preserve">Hold load where the grid allows, cut volume before load (Fat Loss rule), and keep the main compounds in the program even as accessory volume drops.</t>
  </si>
  <si>
    <t xml:space="preserve">Load is the last thing cut, always.</t>
  </si>
  <si>
    <t xml:space="preserve">GC06</t>
  </si>
  <si>
    <t xml:space="preserve">preserve progression state</t>
  </si>
  <si>
    <t xml:space="preserve">The user's logged loads and history stay valid</t>
  </si>
  <si>
    <t xml:space="preserve">Do not reset progression_state on a goal change. Current loads carry into the new prescription; only the rep and set targets around them move.</t>
  </si>
  <si>
    <t xml:space="preserve">History is never wiped by a goal change.</t>
  </si>
  <si>
    <t xml:space="preserve">GC07</t>
  </si>
  <si>
    <t xml:space="preserve">transition safely</t>
  </si>
  <si>
    <t xml:space="preserve">Big jumps in style (e.g. General Fitness to Strength) change intensity a lot</t>
  </si>
  <si>
    <t xml:space="preserve">Ease into the new intensity over one week: apply the new structure but keep rir_min one higher than target for the first week, then settle.</t>
  </si>
  <si>
    <t xml:space="preserve">One easy transition week protects against a sudden intensity spike.</t>
  </si>
  <si>
    <t xml:space="preserve">GC08</t>
  </si>
  <si>
    <t xml:space="preserve">re-screen check</t>
  </si>
  <si>
    <t xml:space="preserve">A goal change is a natural moment to confirm nothing health-relevant has changed</t>
  </si>
  <si>
    <t xml:space="preserve">Ask if anything about their health has changed since onboarding. If yes, re-run the screening flow before applying the new goal.</t>
  </si>
  <si>
    <t xml:space="preserve">Screening stays current across the life of the program.</t>
  </si>
  <si>
    <t xml:space="preserve">GC09</t>
  </si>
  <si>
    <t xml:space="preserve">version the program</t>
  </si>
  <si>
    <t xml:space="preserve">History and auditability</t>
  </si>
  <si>
    <t xml:space="preserve">A goal change creates a new program version (Data Schemas: programs.version up, superseded_by set on the old one). The old program stays in history.</t>
  </si>
  <si>
    <t xml:space="preserve">Nothing is destructive. The user can see what changed and when.</t>
  </si>
  <si>
    <t xml:space="preserve">Fixed weekly activities declared at onboarding (day, type, intensity). The AI classifies free text into one commitment_type, the generator applies the numeric adjustments. volume_cut_sets applies across the muscles in volume_cut_muscles. adjacency_block_hours blocks Legs or Lower (or Pull, for climbing) that many hours either side. interval_slots_removed comes off the weekly conditioning budget. rir_penalty_next_day is added to rir_min on the following day. A commitment is training the app did not prescribe but the body still pays for.</t>
  </si>
  <si>
    <t xml:space="preserve">commitment_type</t>
  </si>
  <si>
    <t xml:space="preserve">examples</t>
  </si>
  <si>
    <t xml:space="preserve">load_profile</t>
  </si>
  <si>
    <t xml:space="preserve">volume_cut_muscles</t>
  </si>
  <si>
    <t xml:space="preserve">volume_cut_sets_min</t>
  </si>
  <si>
    <t xml:space="preserve">volume_cut_sets_max</t>
  </si>
  <si>
    <t xml:space="preserve">adjacency_block_hours</t>
  </si>
  <si>
    <t xml:space="preserve">interval_slots_removed</t>
  </si>
  <si>
    <t xml:space="preserve">rir_penalty_next_day</t>
  </si>
  <si>
    <t xml:space="preserve">notes</t>
  </si>
  <si>
    <t xml:space="preserve">basketball</t>
  </si>
  <si>
    <t xml:space="preserve">Basketball, netball, volleyball</t>
  </si>
  <si>
    <t xml:space="preserve">lower_body_impact|conditioning</t>
  </si>
  <si>
    <t xml:space="preserve">Quads|Hamstrings &amp; Glutes</t>
  </si>
  <si>
    <t xml:space="preserve">Never place a Legs or Lower day within adjacency_block_hours either side of the commitment.</t>
  </si>
  <si>
    <t xml:space="preserve">football</t>
  </si>
  <si>
    <t xml:space="preserve">Soccer, AFL, rugby, touch</t>
  </si>
  <si>
    <t xml:space="preserve">lower_body_impact|conditioning|contact</t>
  </si>
  <si>
    <t xml:space="preserve">Removes all standalone Interval work. The day after a match runs at rir_min plus rir_penalty_next_day.</t>
  </si>
  <si>
    <t xml:space="preserve">running</t>
  </si>
  <si>
    <t xml:space="preserve">Running, park run, athletics</t>
  </si>
  <si>
    <t xml:space="preserve">Adjacency applies to hard or long runs only. Easy runs need no adjustment beyond the Interval slot removal.</t>
  </si>
  <si>
    <t xml:space="preserve">racquet</t>
  </si>
  <si>
    <t xml:space="preserve">Tennis, badminton, squash</t>
  </si>
  <si>
    <t xml:space="preserve">lower_body_impact|unilateral|conditioning</t>
  </si>
  <si>
    <t xml:space="preserve">No extra rotation core work in commitment weeks, the sport supplies it.</t>
  </si>
  <si>
    <t xml:space="preserve">swimming</t>
  </si>
  <si>
    <t xml:space="preserve">Swimming, water polo</t>
  </si>
  <si>
    <t xml:space="preserve">full_body|low_impact_conditioning</t>
  </si>
  <si>
    <t xml:space="preserve">Low impact, low recovery cost. Only the Interval slot removal applies.</t>
  </si>
  <si>
    <t xml:space="preserve">cycling</t>
  </si>
  <si>
    <t xml:space="preserve">Cycling, spin classes</t>
  </si>
  <si>
    <t xml:space="preserve">lower_body|low_impact_conditioning</t>
  </si>
  <si>
    <t xml:space="preserve">Cut Quads sets only when riding is hard or hilly, otherwise zero.</t>
  </si>
  <si>
    <t xml:space="preserve">climbing</t>
  </si>
  <si>
    <t xml:space="preserve">Climbing, bouldering</t>
  </si>
  <si>
    <t xml:space="preserve">upper_pull|grip</t>
  </si>
  <si>
    <t xml:space="preserve">Back|Biceps</t>
  </si>
  <si>
    <t xml:space="preserve">Never place a Pull day within adjacency_block_hours. Grip heavy exercises (deadlifts, carries, rows) move away from climbing days. Counts as half an Interval session, round down.</t>
  </si>
  <si>
    <t xml:space="preserve">martial_arts</t>
  </si>
  <si>
    <t xml:space="preserve">Martial arts, boxing, BJJ</t>
  </si>
  <si>
    <t xml:space="preserve">full_body|conditioning|contact</t>
  </si>
  <si>
    <t xml:space="preserve">user_reported</t>
  </si>
  <si>
    <t xml:space="preserve">Removes all standalone Interval work. Volume cut applies to whichever muscle the user reports as most worked.</t>
  </si>
  <si>
    <t xml:space="preserve">dance</t>
  </si>
  <si>
    <t xml:space="preserve">Dance, cheer, gymnastics</t>
  </si>
  <si>
    <t xml:space="preserve">full_body|lower_body_impact</t>
  </si>
  <si>
    <t xml:space="preserve">Adjacency applies before performances and hard rehearsals.</t>
  </si>
  <si>
    <t xml:space="preserve">physical_job</t>
  </si>
  <si>
    <t xml:space="preserve">Hospitality, labouring, retail on feet</t>
  </si>
  <si>
    <t xml:space="preserve">chronic_low_load</t>
  </si>
  <si>
    <t xml:space="preserve">Start weekly volume at the bottom of the goal's range. Apply F03 after long shifts the user flags.</t>
  </si>
  <si>
    <t xml:space="preserve">social_sport</t>
  </si>
  <si>
    <t xml:space="preserve">Casual grade, under 1 hour, low intensity</t>
  </si>
  <si>
    <t xml:space="preserve">light_activity</t>
  </si>
  <si>
    <t xml:space="preserve">Counts toward general activity only. No adjustment.</t>
  </si>
  <si>
    <t xml:space="preserve">other</t>
  </si>
  <si>
    <t xml:space="preserve">Anything not listed</t>
  </si>
  <si>
    <t xml:space="preserve">unknown</t>
  </si>
  <si>
    <t xml:space="preserve">Default: treat as full body conditioning, ask the user which muscles it works, then reclassify into a row above.</t>
  </si>
  <si>
    <t xml:space="preserve">How a single workout is assembled. Look up the day_type from the split's day_structure, fill slots in order. Filter tokens are pipe separated: 'Squat|Lunge' means the pattern is Squat OR Lunge. 'Compound&gt;Isolation' means compound preferred, isolation allowed. FOCAL_1 and FOCAL_2 resolve to the user's declared focal points (eligible focal points: Chest, Back, Shoulders, Quads, Hamstrings &amp; Glutes, Biceps, Triceps, Core, Calves. Full Body &amp; Conditioning is not a focal point). Selection within a slot: filter by required_equipment_tags against the user's equipment, skill and exclusions, then weight by Primary Goal Fit, then focal points, then prefer already logged exercises. Required slots must fill, walking Substitutions if needed. Optional slots drop first on short sessions. Sets and reps per slot come from Prescription Logic. Compounds never sit after isolation work for the same muscle. Session budget: 4 to 6 exercises and 12 to 22 working sets at 45 to 60 minutes, 3 to 4 exercises and 9 to 14 sets at 30 minutes. Slot counts are a base, not a cap: Weekly Volume reconciliation may add or trim slots.</t>
  </si>
  <si>
    <t xml:space="preserve">slot_id</t>
  </si>
  <si>
    <t xml:space="preserve">day_type</t>
  </si>
  <si>
    <t xml:space="preserve">order</t>
  </si>
  <si>
    <t xml:space="preserve">slot_name</t>
  </si>
  <si>
    <t xml:space="preserve">muscle_group_filter</t>
  </si>
  <si>
    <t xml:space="preserve">movement_pattern_filter</t>
  </si>
  <si>
    <t xml:space="preserve">type_filter</t>
  </si>
  <si>
    <t xml:space="preserve">Full-1</t>
  </si>
  <si>
    <t xml:space="preserve">Squat compound</t>
  </si>
  <si>
    <t xml:space="preserve">Squat|Lunge</t>
  </si>
  <si>
    <t xml:space="preserve">The biggest lift goes first, freshest.</t>
  </si>
  <si>
    <t xml:space="preserve">Full-2</t>
  </si>
  <si>
    <t xml:space="preserve">Push</t>
  </si>
  <si>
    <t xml:space="preserve">Horizontal Push|Vertical Push</t>
  </si>
  <si>
    <t xml:space="preserve">Main press of the day.</t>
  </si>
  <si>
    <t xml:space="preserve">Full-3</t>
  </si>
  <si>
    <t xml:space="preserve">Pull</t>
  </si>
  <si>
    <t xml:space="preserve">Horizontal Pull|Vertical Pull</t>
  </si>
  <si>
    <t xml:space="preserve">Every push is matched by a pull.</t>
  </si>
  <si>
    <t xml:space="preserve">Full-4</t>
  </si>
  <si>
    <t xml:space="preserve">Hamstrings &amp; Glutes|Back</t>
  </si>
  <si>
    <t xml:space="preserve">Hinge pattern every session.</t>
  </si>
  <si>
    <t xml:space="preserve">Full-5</t>
  </si>
  <si>
    <t xml:space="preserve">Isolation filler</t>
  </si>
  <si>
    <t xml:space="preserve">Shoulders|Biceps|Triceps</t>
  </si>
  <si>
    <t xml:space="preserve">Any</t>
  </si>
  <si>
    <t xml:space="preserve">Optional</t>
  </si>
  <si>
    <t xml:space="preserve">Filled when session time allows, rotated across the week.</t>
  </si>
  <si>
    <t xml:space="preserve">Full-6</t>
  </si>
  <si>
    <t xml:space="preserve">Core finishes every full body day.</t>
  </si>
  <si>
    <t xml:space="preserve">Upper-1</t>
  </si>
  <si>
    <t xml:space="preserve">Upper</t>
  </si>
  <si>
    <t xml:space="preserve">Horizontal push</t>
  </si>
  <si>
    <t xml:space="preserve">Main press first.</t>
  </si>
  <si>
    <t xml:space="preserve">Upper-2</t>
  </si>
  <si>
    <t xml:space="preserve">Horizontal pull</t>
  </si>
  <si>
    <t xml:space="preserve">Row to match the press.</t>
  </si>
  <si>
    <t xml:space="preserve">Upper-3</t>
  </si>
  <si>
    <t xml:space="preserve">Vertical push</t>
  </si>
  <si>
    <t xml:space="preserve">Overhead work.</t>
  </si>
  <si>
    <t xml:space="preserve">Upper-4</t>
  </si>
  <si>
    <t xml:space="preserve">Vertical pull</t>
  </si>
  <si>
    <t xml:space="preserve">Pulldown or chin up pattern.</t>
  </si>
  <si>
    <t xml:space="preserve">Upper-5</t>
  </si>
  <si>
    <t xml:space="preserve">Biceps isolation</t>
  </si>
  <si>
    <t xml:space="preserve">Arms fill remaining time.</t>
  </si>
  <si>
    <t xml:space="preserve">Upper-6</t>
  </si>
  <si>
    <t xml:space="preserve">Triceps isolation</t>
  </si>
  <si>
    <t xml:space="preserve">Lower-1</t>
  </si>
  <si>
    <t xml:space="preserve">Lower</t>
  </si>
  <si>
    <t xml:space="preserve">Main lift first.</t>
  </si>
  <si>
    <t xml:space="preserve">Lower-2</t>
  </si>
  <si>
    <t xml:space="preserve">Squat and hinge in every lower session.</t>
  </si>
  <si>
    <t xml:space="preserve">Lower-3</t>
  </si>
  <si>
    <t xml:space="preserve">Single leg</t>
  </si>
  <si>
    <t xml:space="preserve">Unilateral work every lower day.</t>
  </si>
  <si>
    <t xml:space="preserve">Lower-4</t>
  </si>
  <si>
    <t xml:space="preserve">Knee flexion</t>
  </si>
  <si>
    <t xml:space="preserve">Direct hamstring work.</t>
  </si>
  <si>
    <t xml:space="preserve">Lower-5</t>
  </si>
  <si>
    <t xml:space="preserve">Filled when time allows.</t>
  </si>
  <si>
    <t xml:space="preserve">Lower-6</t>
  </si>
  <si>
    <t xml:space="preserve">Core finishes the session.</t>
  </si>
  <si>
    <t xml:space="preserve">Push-1</t>
  </si>
  <si>
    <t xml:space="preserve">Push-2</t>
  </si>
  <si>
    <t xml:space="preserve">Overhead second.</t>
  </si>
  <si>
    <t xml:space="preserve">Push-3</t>
  </si>
  <si>
    <t xml:space="preserve">Secondary press or fly</t>
  </si>
  <si>
    <t xml:space="preserve">A second chest angle or a fly.</t>
  </si>
  <si>
    <t xml:space="preserve">Push-4</t>
  </si>
  <si>
    <t xml:space="preserve">Direct side delt work.</t>
  </si>
  <si>
    <t xml:space="preserve">Push-5</t>
  </si>
  <si>
    <t xml:space="preserve">Triceps close the day.</t>
  </si>
  <si>
    <t xml:space="preserve">Pull-1</t>
  </si>
  <si>
    <t xml:space="preserve">Hinge or heavy row</t>
  </si>
  <si>
    <t xml:space="preserve">Hinge|Horizontal Pull</t>
  </si>
  <si>
    <t xml:space="preserve">Heaviest pull first.</t>
  </si>
  <si>
    <t xml:space="preserve">Pull-2</t>
  </si>
  <si>
    <t xml:space="preserve">Lat width work.</t>
  </si>
  <si>
    <t xml:space="preserve">Pull-3</t>
  </si>
  <si>
    <t xml:space="preserve">Second row</t>
  </si>
  <si>
    <t xml:space="preserve">A different row angle.</t>
  </si>
  <si>
    <t xml:space="preserve">Pull-4</t>
  </si>
  <si>
    <t xml:space="preserve">Rear delt</t>
  </si>
  <si>
    <t xml:space="preserve">Isolation|Horizontal Pull</t>
  </si>
  <si>
    <t xml:space="preserve">Rear delts every pull day.</t>
  </si>
  <si>
    <t xml:space="preserve">Pull-5</t>
  </si>
  <si>
    <t xml:space="preserve">Biceps close the day.</t>
  </si>
  <si>
    <t xml:space="preserve">Legs-1</t>
  </si>
  <si>
    <t xml:space="preserve">Legs</t>
  </si>
  <si>
    <t xml:space="preserve">Legs-2</t>
  </si>
  <si>
    <t xml:space="preserve">Hip hinge second.</t>
  </si>
  <si>
    <t xml:space="preserve">Legs-3</t>
  </si>
  <si>
    <t xml:space="preserve">Unilateral work.</t>
  </si>
  <si>
    <t xml:space="preserve">Legs-4</t>
  </si>
  <si>
    <t xml:space="preserve">Direct hamstrings.</t>
  </si>
  <si>
    <t xml:space="preserve">Legs-5</t>
  </si>
  <si>
    <t xml:space="preserve">Calves every leg day.</t>
  </si>
  <si>
    <t xml:space="preserve">Legs-6</t>
  </si>
  <si>
    <t xml:space="preserve">When time allows.</t>
  </si>
  <si>
    <t xml:space="preserve">Focus-1</t>
  </si>
  <si>
    <t xml:space="preserve">Focus</t>
  </si>
  <si>
    <t xml:space="preserve">Focal slot 1</t>
  </si>
  <si>
    <t xml:space="preserve">FOCAL_1</t>
  </si>
  <si>
    <t xml:space="preserve">Compound&gt;Isolation</t>
  </si>
  <si>
    <t xml:space="preserve">Compound preferred, isolation if the focal muscle has no compound (Core, Calves).</t>
  </si>
  <si>
    <t xml:space="preserve">Focus-2</t>
  </si>
  <si>
    <t xml:space="preserve">Focal slot 2</t>
  </si>
  <si>
    <t xml:space="preserve">Any, different pattern to slot 1</t>
  </si>
  <si>
    <t xml:space="preserve">A second angle on the same target.</t>
  </si>
  <si>
    <t xml:space="preserve">Focus-3</t>
  </si>
  <si>
    <t xml:space="preserve">Focal isolation 1</t>
  </si>
  <si>
    <t xml:space="preserve">Isolation&gt;Compound</t>
  </si>
  <si>
    <t xml:space="preserve">Direct volume.</t>
  </si>
  <si>
    <t xml:space="preserve">Focus-4</t>
  </si>
  <si>
    <t xml:space="preserve">Focal isolation 2</t>
  </si>
  <si>
    <t xml:space="preserve">FOCAL_2|FOCAL_1</t>
  </si>
  <si>
    <t xml:space="preserve">Second focal point if declared, otherwise more of the first.</t>
  </si>
  <si>
    <t xml:space="preserve">Focus-5</t>
  </si>
  <si>
    <t xml:space="preserve">Cond-1</t>
  </si>
  <si>
    <t xml:space="preserve">Cond</t>
  </si>
  <si>
    <t xml:space="preserve">Interval block</t>
  </si>
  <si>
    <t xml:space="preserve">Conditioning|Full Body|Hinge</t>
  </si>
  <si>
    <t xml:space="preserve">Any, Prescription Class = Interval or Power</t>
  </si>
  <si>
    <t xml:space="preserve">The main conditioning piece: erg, bike, intervals or swings, prescribed off the Interval or Power grid row for the user's goal.</t>
  </si>
  <si>
    <t xml:space="preserve">Cond-2</t>
  </si>
  <si>
    <t xml:space="preserve">Second block</t>
  </si>
  <si>
    <t xml:space="preserve">Any, Prescription Class = Interval</t>
  </si>
  <si>
    <t xml:space="preserve">A second modality when session length allows, different to block 1.</t>
  </si>
  <si>
    <t xml:space="preserve">Cond-3</t>
  </si>
  <si>
    <t xml:space="preserve">Farmer or suitcase carry as a finisher.</t>
  </si>
  <si>
    <t xml:space="preserve">Cond-4</t>
  </si>
  <si>
    <t xml:space="preserve">Low fatigue core to close.</t>
  </si>
  <si>
    <t xml:space="preserve">Weekly Volume Targets</t>
  </si>
  <si>
    <t xml:space="preserve">Hard weekly sets per muscle. The generator budgets at the week level first and lets sessions follow. Working sets at the prescribed RIR only, warm ups do not count.</t>
  </si>
  <si>
    <t xml:space="preserve">weekly_sets_min</t>
  </si>
  <si>
    <t xml:space="preserve">weekly_sets_max</t>
  </si>
  <si>
    <t xml:space="preserve">Chest|Back|Quads|Hamstrings &amp; Glutes|Shoulders</t>
  </si>
  <si>
    <t xml:space="preserve">Counted per main lift pattern (squat, press, hinge, pull) rather than per muscle</t>
  </si>
  <si>
    <t xml:space="preserve">Enough to keep muscle in a deficit. Volume is cut before load, never the reverse</t>
  </si>
  <si>
    <t xml:space="preserve">All major muscle groups</t>
  </si>
  <si>
    <t xml:space="preserve">Reconciliation: making the week hit the budget</t>
  </si>
  <si>
    <t xml:space="preserve">Session Template slot counts are a base, not the budget. After building all days, the generator reconciles each muscle against its weekly target in this order. This is what closes the gap between, say, one chest slot per Upper day and a 10 set weekly minimum.</t>
  </si>
  <si>
    <t xml:space="preserve">detail</t>
  </si>
  <si>
    <t xml:space="preserve">Fill sets up</t>
  </si>
  <si>
    <t xml:space="preserve">Raise sets on existing slots from sets_min toward sets_max for the under target muscle. Example: Intermediate Hypertrophy on UL4, chest at 3+3 = 6 sets, raise both Upper day chest slots to 4+4 = 8.</t>
  </si>
  <si>
    <t xml:space="preserve">Add a slot</t>
  </si>
  <si>
    <t xml:space="preserve">Still under target: add one extra slot per session for that muscle, isolation preferred, respecting the session set budget. Example: add a fly on one Upper day and a second press on the other, 8 + 4 = 12 sets, inside the 10 to 16 window.</t>
  </si>
  <si>
    <t xml:space="preserve">Trim overshoot</t>
  </si>
  <si>
    <t xml:space="preserve">Over target (PPL6 back can hit 18+ sets): reduce that muscle's later slots to sets_min, then drop its optional slots, then convert one direct slot to the week's most under target muscle.</t>
  </si>
  <si>
    <t xml:space="preserve">Arms, calves, core</t>
  </si>
  <si>
    <t xml:space="preserve">Half the main muscle target, direct sets only. Indirect work from compounds is deliberately not counted in v1, so the generator slightly overcounts arms and delts. That is the safe direction to err.</t>
  </si>
  <si>
    <t xml:space="preserve">Focal points</t>
  </si>
  <si>
    <t xml:space="preserve">Add 3 to 4 weekly sets to each focal muscle, remove the same number from the lowest priority muscle, hard cap 20 for any muscle.</t>
  </si>
  <si>
    <t xml:space="preserve">Commitment cuts</t>
  </si>
  <si>
    <t xml:space="preserve">Apply External Commitments volume cuts after focal adjustments. Cuts and focal additions on the same muscle net off.</t>
  </si>
  <si>
    <t xml:space="preserve">Floor</t>
  </si>
  <si>
    <t xml:space="preserve">Every major muscle keeps at least 4 direct or heavy indirect sets per week on any split. Nothing is trained zero times.</t>
  </si>
  <si>
    <t xml:space="preserve">How day types are placed onto the user's actual calendar, including rest day calculation and fixed commitments. Applied in rule order after the split is chosen. Rest days are whatever remains after lifting days and commitments are placed, subject to the SCH02 floor.</t>
  </si>
  <si>
    <t xml:space="preserve">SCH01</t>
  </si>
  <si>
    <t xml:space="preserve">inputs</t>
  </si>
  <si>
    <t xml:space="preserve">At onboarding collect: which days the user can lift, which days carry fixed commitments, and the commitment type and intensity for each.</t>
  </si>
  <si>
    <t xml:space="preserve">The calendar is built around real life, not the other way round.</t>
  </si>
  <si>
    <t xml:space="preserve">SCH02</t>
  </si>
  <si>
    <t xml:space="preserve">rest floor</t>
  </si>
  <si>
    <t xml:space="preserve">Every week keeps at least one day with no lifting and no declared commitment. If the user's schedule leaves zero empty days, drop the lowest priority lifting day.</t>
  </si>
  <si>
    <t xml:space="preserve">One genuine rest day per week is non negotiable.</t>
  </si>
  <si>
    <t xml:space="preserve">SCH03</t>
  </si>
  <si>
    <t xml:space="preserve">spacing</t>
  </si>
  <si>
    <t xml:space="preserve">At least 48 hours between two sessions of the same day type, and between any two sessions that hit the same muscle group directly. Consecutive day pairs that work (Upper then Lower, Push then Pull, Push then Legs) are preferred when days are tight.</t>
  </si>
  <si>
    <t xml:space="preserve">Muscles grow between sessions, not during them.</t>
  </si>
  <si>
    <t xml:space="preserve">SCH04</t>
  </si>
  <si>
    <t xml:space="preserve">commitment adjacency</t>
  </si>
  <si>
    <t xml:space="preserve">Apply the adjacency rules from External Commitments. Where a conflict cannot be avoided (user lifts Mon and Wed, basketball Tue), place the Upper or Push day next to the commitment and move Legs or Lower as far from it as the week allows.</t>
  </si>
  <si>
    <t xml:space="preserve">Legs never sit against a leg heavy sport if any other arrangement exists.</t>
  </si>
  <si>
    <t xml:space="preserve">SCH05</t>
  </si>
  <si>
    <t xml:space="preserve">placement order</t>
  </si>
  <si>
    <t xml:space="preserve">Place day types onto the calendar in this order: Legs and Lower first (they have the most constraints), then Pull, then Push and Upper, then Full, then Focus, then standalone conditioning.</t>
  </si>
  <si>
    <t xml:space="preserve">The most constrained day gets first choice of calendar slots.</t>
  </si>
  <si>
    <t xml:space="preserve">SCH06</t>
  </si>
  <si>
    <t xml:space="preserve">compression</t>
  </si>
  <si>
    <t xml:space="preserve">If commitments plus the rest floor leave fewer usable lifting days than the chosen split needs, re run the Split Selector with the reduced day count. Never delete individual days from a split, the split itself changes.</t>
  </si>
  <si>
    <t xml:space="preserve">A 4 day Upper Lower with a day removed is a broken program. A 3 day Full Body is a complete one.</t>
  </si>
  <si>
    <t xml:space="preserve">SCH07</t>
  </si>
  <si>
    <t xml:space="preserve">missed session</t>
  </si>
  <si>
    <t xml:space="preserve">If a session is missed and the next scheduled session is more than 24 hours away, shift the week forward one day. Otherwise skip the missed session and continue, folding its 2 highest priority slots into the next compatible day if the session budget allows.</t>
  </si>
  <si>
    <t xml:space="preserve">The program bends instead of snapping. Nobody restarts a week because of one bad Tuesday.</t>
  </si>
  <si>
    <t xml:space="preserve">SCH08</t>
  </si>
  <si>
    <t xml:space="preserve">recurring conflict</t>
  </si>
  <si>
    <t xml:space="preserve">If the same session is missed 3 weeks running, treat the day as unavailable, re run scheduling, and suggest the change to the user rather than silently punishing them.</t>
  </si>
  <si>
    <t xml:space="preserve">The schedule adapts to the user's real week, not their optimistic one.</t>
  </si>
  <si>
    <t xml:space="preserve">SCH09</t>
  </si>
  <si>
    <t xml:space="preserve">exam and travel mode</t>
  </si>
  <si>
    <t xml:space="preserve">On a user flag, compress to the FB2 split at General Fitness volume for the flagged period, keep loads, and restore the previous program after.</t>
  </si>
  <si>
    <t xml:space="preserve">Two maintained sessions through exam block beat a perfect program that gets abandoned.</t>
  </si>
  <si>
    <t xml:space="preserve">SCH10</t>
  </si>
  <si>
    <t xml:space="preserve">planned absence</t>
  </si>
  <si>
    <t xml:space="preserve">Any date inside an active planned_absence (Exam Survival Protocol) is exempt from SCH07 and SCH08: it never counts as a missed session, never triggers re-scheduling, and never penalises the user.</t>
  </si>
  <si>
    <t xml:space="preserve">A day you told us about in advance is not a day you failed to show up.</t>
  </si>
  <si>
    <t xml:space="preserve">Exam Survival Protocol (planned absence)</t>
  </si>
  <si>
    <t xml:space="preserve">Lets a user declare a future date range (exam block, holiday, travel, placement, life event) AHEAD of time and choose what happens to training. This is the proactive twin of Schedule Rules SCH07: SCH07 reacts to a missed day, this plans for a known one. The user picks one mode when adding the dates. Each mode is a deterministic rule the generator applies to every session inside the range, then automatically restores the normal program after. Progress is protected: no mode below 'full_pause' loses strength, and even full_pause freezes rather than resets. The overriding aim: the user tells the app 'I can't train on these days' and does NOT lose progress or get punished for it.</t>
  </si>
  <si>
    <t xml:space="preserve">mode_id</t>
  </si>
  <si>
    <t xml:space="preserve">user says</t>
  </si>
  <si>
    <t xml:space="preserve">what the generator does</t>
  </si>
  <si>
    <t xml:space="preserve">when to use / effect on progress</t>
  </si>
  <si>
    <t xml:space="preserve">intent</t>
  </si>
  <si>
    <t xml:space="preserve">full_pause</t>
  </si>
  <si>
    <t xml:space="preserve">Full pause</t>
  </si>
  <si>
    <t xml:space="preserve">'I can't train at all these days'</t>
  </si>
  <si>
    <t xml:space="preserve">No sessions scheduled in the range. Program is frozen, not deleted. On return, resume the exact next session that was due, at the same loads. No progression happens during the pause.</t>
  </si>
  <si>
    <t xml:space="preserve">Up to 2 weeks loses almost nothing. Beyond ~2 weeks, the return week runs at rir_min +1 and 40 percent fewer sets for one week to ease back in (re-entry ramp), then normal.</t>
  </si>
  <si>
    <t xml:space="preserve">maintain</t>
  </si>
  <si>
    <t xml:space="preserve">maintenance</t>
  </si>
  <si>
    <t xml:space="preserve">Maintenance (lighter)</t>
  </si>
  <si>
    <t xml:space="preserve">'Keep me ticking over, but easy'</t>
  </si>
  <si>
    <t xml:space="preserve">Replace the normal split with FB2 (two full-body sessions) across whatever days in the range the user can still train. Hold loads, cut sets ~40 percent, raise rir_min by 1. No new progression, no new maxes.</t>
  </si>
  <si>
    <t xml:space="preserve">This is the recommended default for an exam block. Two short easy sessions a week fully maintain strength and muscle with minimal time and fatigue.</t>
  </si>
  <si>
    <t xml:space="preserve">minimal_movement</t>
  </si>
  <si>
    <t xml:space="preserve">Just keep moving</t>
  </si>
  <si>
    <t xml:space="preserve">'No gym, but I don't want to sit still'</t>
  </si>
  <si>
    <t xml:space="preserve">No lifting. Schedule a daily low-effort movement prompt instead: a walk (target 20-40 min or a step goal), optional mobility. Logged as activity, not training. Zero fatigue cost, keeps the habit alive.</t>
  </si>
  <si>
    <t xml:space="preserve">For users who want the streak and the routine without gym time. Protects adherence, which is the thing most likely to break over exams.</t>
  </si>
  <si>
    <t xml:space="preserve">habit</t>
  </si>
  <si>
    <t xml:space="preserve">reduced_frequency</t>
  </si>
  <si>
    <t xml:space="preserve">Fewer days</t>
  </si>
  <si>
    <t xml:space="preserve">'I can only make it once or twice'</t>
  </si>
  <si>
    <t xml:space="preserve">Keep the current split's content but compress to the 1 or 2 highest-value sessions per week for the range (prioritise full-body or the user's focal days). Hold loads, normal reps, slightly higher rir_min.</t>
  </si>
  <si>
    <t xml:space="preserve">Best when the user can still get to the gym occasionally and wants it to count. Uses the same compression logic as Schedule Rules SCH06.</t>
  </si>
  <si>
    <t xml:space="preserve">active_rest</t>
  </si>
  <si>
    <t xml:space="preserve">Planned deload</t>
  </si>
  <si>
    <t xml:space="preserve">'Use this as a break'</t>
  </si>
  <si>
    <t xml:space="preserve">Treat the range as a scheduled deload (Safety Rule F01): cut sets 40 percent, hold load, raise rir_min by 1, for up to one week. If the range is longer than a week, the remainder becomes full_pause.</t>
  </si>
  <si>
    <t xml:space="preserve">Turns an unavoidable gap into a productive recovery block. Often the user comes back stronger.</t>
  </si>
  <si>
    <t xml:space="preserve">recover</t>
  </si>
  <si>
    <t xml:space="preserve">no_change</t>
  </si>
  <si>
    <t xml:space="preserve">Keep it as is</t>
  </si>
  <si>
    <t xml:space="preserve">'Just letting you know, don't change anything'</t>
  </si>
  <si>
    <t xml:space="preserve">No program change. The declared days are logged as known-busy so the missed-session logic (SCH07) does not treat them as failures or trigger SCH08 re-scheduling.</t>
  </si>
  <si>
    <t xml:space="preserve">For users who will train anyway but want the app to stop nagging about 'missed' days.</t>
  </si>
  <si>
    <t xml:space="preserve">Range handling and restore</t>
  </si>
  <si>
    <t xml:space="preserve">- Declared as a date range with a mode. Multiple ranges can be stored (e.g. two exam blocks and a holiday). Overlapping ranges take the more conservative mode.</t>
  </si>
  <si>
    <t xml:space="preserve">- During the range, all other rules still apply: HARD_SAFETY rules are never relaxed, screening state is unchanged, and a stop symptom still triggers S06 even in maintenance mode.</t>
  </si>
  <si>
    <t xml:space="preserve">- On the day the range ends, the normal program restores automatically. If the pause was longer than ~2 weeks, a one-week re-entry ramp runs first (rir_min +1, sets cut 40 percent) before full resumption.</t>
  </si>
  <si>
    <t xml:space="preserve">- progression_state is never wiped by an absence. Loads on return are the loads from before the range. Long pauses adjust the first week's intensity, not the stored loads.</t>
  </si>
  <si>
    <t xml:space="preserve">- The declared range suppresses the missed-session penalties (SCH07/SCH08) for those dates, so a planned absence never counts as a failure or forces a schedule re-run.</t>
  </si>
  <si>
    <t xml:space="preserve">- The user can edit or cancel a future range any time before it starts, and can end it early on return.</t>
  </si>
  <si>
    <t xml:space="preserve">Exam Protocol: Build Spec</t>
  </si>
  <si>
    <t xml:space="preserve">What Claude Code has to build and what changes on the platform to deliver the Exam Survival Protocol. This is the implementation companion to the rules sheet: the rules sheet says WHAT happens, this says WHERE it is built. The same split of concerns (rules on one sheet, build spec on another) can be used for any future feature.</t>
  </si>
  <si>
    <t xml:space="preserve">area</t>
  </si>
  <si>
    <t xml:space="preserve">component</t>
  </si>
  <si>
    <t xml:space="preserve">what to build</t>
  </si>
  <si>
    <t xml:space="preserve">build note</t>
  </si>
  <si>
    <t xml:space="preserve">users.planned_absences[]</t>
  </si>
  <si>
    <t xml:space="preserve">Add a planned_absences array to the users doc (or a subcollection): each entry {absence_id, start_date, end_date, mode_id, note, created_at, status: upcoming|active|completed|cancelled}.</t>
  </si>
  <si>
    <t xml:space="preserve">Firestore schema change. Add to Data Schemas sheet users collection.</t>
  </si>
  <si>
    <t xml:space="preserve">Onboarding / settings</t>
  </si>
  <si>
    <t xml:space="preserve">Exam Survival Protocol entry point</t>
  </si>
  <si>
    <t xml:space="preserve">The 'More' card the user tapped opens a flow: pick date range on a calendar, pick one mode (the 6 modes from this sheet shown as cards with the plain-English 'user says' text), optional note, confirm.</t>
  </si>
  <si>
    <t xml:space="preserve">New screen. Reuse the mode names and descriptions verbatim from this sheet so the UI and backend never drift.</t>
  </si>
  <si>
    <t xml:space="preserve">Range-aware session generation</t>
  </si>
  <si>
    <t xml:space="preserve">Before generating any session, the generator checks whether its date falls inside an active planned_absence. If so, it applies that mode's rule instead of the normal build. On range end, it flips status to completed and resumes normal generation, running the re-entry ramp if the pause exceeded 2 weeks.</t>
  </si>
  <si>
    <t xml:space="preserve">Generator Flow gains a check at step 4 (scheduling). No new step, an added condition.</t>
  </si>
  <si>
    <t xml:space="preserve">Scheduler</t>
  </si>
  <si>
    <t xml:space="preserve">Suppress missed-day penalties in range</t>
  </si>
  <si>
    <t xml:space="preserve">Schedule Rules SCH07/SCH08 must skip any date covered by a planned_absence so declared-busy days never register as missed sessions.</t>
  </si>
  <si>
    <t xml:space="preserve">Logic change in the scheduler, references this sheet.</t>
  </si>
  <si>
    <t xml:space="preserve">Pre-range and restore prompts</t>
  </si>
  <si>
    <t xml:space="preserve">Optional: a reminder the day before a range starts ('Exam mode kicks in tomorrow, here's your lighter plan') and on restore ('Welcome back, easing you in this week').</t>
  </si>
  <si>
    <t xml:space="preserve">Push notification hooks. Nice-to-have, not required for launch.</t>
  </si>
  <si>
    <t xml:space="preserve">Conversational entry</t>
  </si>
  <si>
    <t xml:space="preserve">The user can also trigger this by telling the coach ('I've got exams from the 10th to the 24th'). The AI maps it to a date range + suggested mode, confirms, and writes the planned_absence. Governed by the Coach AI Operating Rules consult order.</t>
  </si>
  <si>
    <t xml:space="preserve">AI reads this sheet. Add a row to the Operating Rules consult table.</t>
  </si>
  <si>
    <t xml:space="preserve">The end to end order of operations for the workout engine. Steps 1 to 8 build the initial program, steps 9 to 14 run continuously as the user trains and their needs change. The AI layer and the Firestore backend follow these steps in order. No step overrides an earlier HARD_SAFETY outcome, and every runtime change (progression, swap, goal change) is re-clamped by the Safety Rules.</t>
  </si>
  <si>
    <t xml:space="preserve">step</t>
  </si>
  <si>
    <t xml:space="preserve">what_happens</t>
  </si>
  <si>
    <t xml:space="preserve">reads_from</t>
  </si>
  <si>
    <t xml:space="preserve">Screen</t>
  </si>
  <si>
    <t xml:space="preserve">Run the pre exercise screening. Route on the Screening Outcomes sheet. CLEAR and MODIFY_AND_CONTINUE proceed, everything else stops here.</t>
  </si>
  <si>
    <t xml:space="preserve">Collect inputs</t>
  </si>
  <si>
    <t xml:space="preserve">Goal, lifting days available (which weekdays, not just how many), session length, experience, exact equipment, focal points (0 to 2), exercises to avoid, and fixed weekly commitments with day, type and intensity.</t>
  </si>
  <si>
    <t xml:space="preserve">Onboarding, External Commitments</t>
  </si>
  <si>
    <t xml:space="preserve">Pick split</t>
  </si>
  <si>
    <t xml:space="preserve">Match days, experience and goal in the Split Selector, first row wins. If the user requests their own structure, build and validate it through Custom Split Rules instead. Either path outputs a day_structure string.</t>
  </si>
  <si>
    <t xml:space="preserve">Split Selector, Splits, Custom Split Rules</t>
  </si>
  <si>
    <t xml:space="preserve">Schedule the week</t>
  </si>
  <si>
    <t xml:space="preserve">Place day types onto actual weekdays using Schedule Rules: rest floor, 48 hour spacing, commitment adjacency, placement order. Apply the volume and conditioning adjustments from External Commitments. If usable days shrink below the split's needs, return to step 3 with the reduced count. Before placing sessions, check for any active planned_absence (Exam Survival Protocol) covering these dates and apply its mode instead of the normal build.</t>
  </si>
  <si>
    <t xml:space="preserve">Schedule Rules, External Commitments, Exam Survival Protocol</t>
  </si>
  <si>
    <t xml:space="preserve">Budget volume</t>
  </si>
  <si>
    <t xml:space="preserve">Set weekly sets per muscle from Weekly Volume, apply focal point adjustments and commitment deductions, cap at 20, floor at the minimum effective.</t>
  </si>
  <si>
    <t xml:space="preserve">Weekly Volume, External Commitments</t>
  </si>
  <si>
    <t xml:space="preserve">Build each day</t>
  </si>
  <si>
    <t xml:space="preserve">Fill Session Template slots in order for each scheduled day type. Filter by equipment, skill and exclusions, weight by Primary Goal Fit and focal points, prefer exercises the user already logs. Repeated day types draw different exercises per CS04.</t>
  </si>
  <si>
    <t xml:space="preserve">Session Templates, Exercise Database, Custom Split Rules</t>
  </si>
  <si>
    <t xml:space="preserve">Prescribe</t>
  </si>
  <si>
    <t xml:space="preserve">Look up Goal|Class in Prescription Logic per exercise. Clamp against Min RIR, Failure Allowed and every HARD_SAFETY rule, then apply PROGRAM_DEFAULT and FATIGUE_ADJUSTMENT rules.</t>
  </si>
  <si>
    <t xml:space="preserve">Prescription Logic, Safety Rules, Exercise Database</t>
  </si>
  <si>
    <t xml:space="preserve">Set starting loads</t>
  </si>
  <si>
    <t xml:space="preserve">Week one starts light, around RIR 4 to 5, and finds the working weight over two sessions. The app never guesses a heavy starting weight.</t>
  </si>
  <si>
    <t xml:space="preserve">Progress</t>
  </si>
  <si>
    <t xml:space="preserve">After every completed instance, run the Progression Engine: read set_logs, adjust reps, sets and load within the grid ranges and Safety Rules, write progression_state. Progression pauses on fatigue and reverses on missed reps.</t>
  </si>
  <si>
    <t xml:space="preserve">Progression Engine, Prescription Logic, Safety Rules</t>
  </si>
  <si>
    <t xml:space="preserve">Swap on demand</t>
  </si>
  <si>
    <t xml:space="preserve">On any user request to change an exercise (dislike, pain, equipment, too hard, too easy, wants a specific lift), follow the Exercise Swaps playbook: walk Substitutions to the first compatible entry, re-prescribe it, re-clamp safety. A reported stop symptom is an S06 escalation, not a swap.</t>
  </si>
  <si>
    <t xml:space="preserve">Exercise Swaps, Substitutions, Safety Rules</t>
  </si>
  <si>
    <t xml:space="preserve">Adapt the calendar</t>
  </si>
  <si>
    <t xml:space="preserve">Missed sessions follow SCH07, recurring misses follow SCH08, exam or travel flags follow SCH09. New or changed commitments re run step 4.</t>
  </si>
  <si>
    <t xml:space="preserve">Adjust and deload</t>
  </si>
  <si>
    <t xml:space="preserve">Watch logged RPE, failures and sleep flags. Apply F01 to F03. Every 6th week is an easy week by default.</t>
  </si>
  <si>
    <t xml:space="preserve">Re screen</t>
  </si>
  <si>
    <t xml:space="preserve">Any stop symptom triggers S06 immediately. Re run screening on any new injury or condition, and every semester rollover.</t>
  </si>
  <si>
    <t xml:space="preserve">Goal change</t>
  </si>
  <si>
    <t xml:space="preserve">If the user changes their goal mid-program, follow the Goal Change playbook: re-run split selection, volume budget and prescription for the new goal, preserve logged loads and progression history, ease intensity over one transition week, and version the program.</t>
  </si>
  <si>
    <t xml:space="preserve">Goal Change, Split Selector, Weekly Volume, Prescription Logic</t>
  </si>
  <si>
    <t xml:space="preserve">Data Schemas (Firestore reference)</t>
  </si>
  <si>
    <t xml:space="preserve">The dynamic side of the backend: what gets written as users train. This workbook is the static rules layer, these collections are where user state lives. Reference for the Firebase build, field names are the contract between the app, the generator and the AI layer.</t>
  </si>
  <si>
    <t xml:space="preserve">collection</t>
  </si>
  <si>
    <t xml:space="preserve">fields</t>
  </si>
  <si>
    <t xml:space="preserve">purpose</t>
  </si>
  <si>
    <t xml:space="preserve">users</t>
  </si>
  <si>
    <t xml:space="preserve">uid (doc id)</t>
  </si>
  <si>
    <t xml:space="preserve">uid, display_name, date_of_birth, age_verified, sex, height_cm, weight_kg, goal_weight_kg, experience, goal, focal_points[] (max 2), days_available[], session_length_min, equipment_tier, equipment_tags[], trains_alone, excluded_exercise_ids[], preferred_exercise_ids[], affected_regions[], commitments[{day, commitment_type, intensity}], screening{version, outcome, answers{}, followups{}, guardian_consent, clearance_confirmed, date, conditions[]}, diet[], tight_budget, planned_absences[{absence_id, start_date, end_date, mode_id, note, status}]</t>
  </si>
  <si>
    <t xml:space="preserve">One document per user. Everything the generator reads at step 2 lives here.</t>
  </si>
  <si>
    <t xml:space="preserve">programs</t>
  </si>
  <si>
    <t xml:space="preserve">program_id</t>
  </si>
  <si>
    <t xml:space="preserve">uid, version, split_id or day_structure, custom (bool), schedule{weekday: day_type}, created_at, active, superseded_by, generation_audit[{step, rule_ids_applied, choices}]</t>
  </si>
  <si>
    <t xml:space="preserve">Immutable once generated. Changes create a new version so history is never lost. The audit array records which rules fired, which is the debugging and liability trail.</t>
  </si>
  <si>
    <t xml:space="preserve">workout_instances</t>
  </si>
  <si>
    <t xml:space="preserve">instance_id</t>
  </si>
  <si>
    <t xml:space="preserve">instance_id, program_id, uid, scheduled_date, day_type, status (planned|done|partial|missed|shifted), exercises[{slot_id, exercise_id, substituted_from, measurement_type, sets, reps_min, reps_max, duration_sec, work_sec, rest_sec, rounds, distance_m, load_kg_target, load_unit, assistance_kg, bodyweight_added_kg, band_level, tempo, side, rir_min}]</t>
  </si>
  <si>
    <t xml:space="preserve">One document per scheduled workout. This is what the app screen renders.</t>
  </si>
  <si>
    <t xml:space="preserve">set_logs</t>
  </si>
  <si>
    <t xml:space="preserve">log_id</t>
  </si>
  <si>
    <t xml:space="preserve">log_id, instance_id, uid, exercise_id, set_number, measurement_type, load_kg, load_unit, reps_done, duration_sec_done, work_sec_done, rounds_done, distance_m_done, assistance_kg, band_level, tempo, side, rir_reported, timestamp, pain_flag, stop_symptom</t>
  </si>
  <si>
    <t xml:space="preserve">One document per completed set or round. measurement_type says which value fields are meaningful, so timed holds, intervals, carries and assisted lifts all log cleanly. Raw material for progression, F01-F03 and S06.</t>
  </si>
  <si>
    <t xml:space="preserve">progression_state</t>
  </si>
  <si>
    <t xml:space="preserve">uid_exerciseId (doc id)</t>
  </si>
  <si>
    <t xml:space="preserve">current_load_kg, current_rep_target, last_progressed_at, sessions_at_current, stall_count, deload_count</t>
  </si>
  <si>
    <t xml:space="preserve">One document per user per exercise. Read at step 9, written after every completed instance.</t>
  </si>
  <si>
    <t xml:space="preserve">swap_history</t>
  </si>
  <si>
    <t xml:space="preserve">uid</t>
  </si>
  <si>
    <t xml:space="preserve">events[{from_id, to_id, reason (dislike | equipment | pain | skill), date}]</t>
  </si>
  <si>
    <t xml:space="preserve">Feeds exclusions: a dislike swap means the exercise is not served again, a pain swap also blocks it pending S06 clearance.</t>
  </si>
  <si>
    <t xml:space="preserve">flags</t>
  </si>
  <si>
    <t xml:space="preserve">stop_symptom_events[{symptom, date, resolved, cleared_by_professional}], deload_history[dates], missed_streaks{weekday: count}</t>
  </si>
  <si>
    <t xml:space="preserve">Drives S06, F01 and SCH08.</t>
  </si>
  <si>
    <t xml:space="preserve">One row per onboarding field. This is the contract between the app wizard and the backend: raw_answer is what the user taps, canonical_value is what gets stored and read by the generator. Mappings are deterministic lookups in code, never inferred by the AI at generation time, so two users who tap identical answers always route identically. 'ask' fields must be collected in the wizard. 'infer_ok' fields may be defaulted and refined later in app.</t>
  </si>
  <si>
    <t xml:space="preserve">field</t>
  </si>
  <si>
    <t xml:space="preserve">raw_answer_options</t>
  </si>
  <si>
    <t xml:space="preserve">maps_to_backend_field</t>
  </si>
  <si>
    <t xml:space="preserve">canonical_value</t>
  </si>
  <si>
    <t xml:space="preserve">policy</t>
  </si>
  <si>
    <t xml:space="preserve">feeds</t>
  </si>
  <si>
    <t xml:space="preserve">users.display_name</t>
  </si>
  <si>
    <t xml:space="preserve">string, fallback 'Athlete'</t>
  </si>
  <si>
    <t xml:space="preserve">ask</t>
  </si>
  <si>
    <t xml:space="preserve">Tone only</t>
  </si>
  <si>
    <t xml:space="preserve">age (derived)</t>
  </si>
  <si>
    <t xml:space="preserve">computed from date_of_birth</t>
  </si>
  <si>
    <t xml:space="preserve">users.age</t>
  </si>
  <si>
    <t xml:space="preserve">int, never defaulted</t>
  </si>
  <si>
    <t xml:space="preserve">Age Routing, Nutrition</t>
  </si>
  <si>
    <t xml:space="preserve">sex</t>
  </si>
  <si>
    <t xml:space="preserve">Male | Female | Other</t>
  </si>
  <si>
    <t xml:space="preserve">users.sex</t>
  </si>
  <si>
    <t xml:space="preserve">male | female | other</t>
  </si>
  <si>
    <t xml:space="preserve">Nutrition (calorie accuracy)</t>
  </si>
  <si>
    <t xml:space="preserve">height_cm</t>
  </si>
  <si>
    <t xml:space="preserve">ruler, default 175</t>
  </si>
  <si>
    <t xml:space="preserve">users.height_cm</t>
  </si>
  <si>
    <t xml:space="preserve">int cm</t>
  </si>
  <si>
    <t xml:space="preserve">Nutrition only</t>
  </si>
  <si>
    <t xml:space="preserve">weight_kg</t>
  </si>
  <si>
    <t xml:space="preserve">dial, default 75</t>
  </si>
  <si>
    <t xml:space="preserve">users.weight_kg</t>
  </si>
  <si>
    <t xml:space="preserve">float kg</t>
  </si>
  <si>
    <t xml:space="preserve">Nutrition, starting load sanity</t>
  </si>
  <si>
    <t xml:space="preserve">goal_weight_kg</t>
  </si>
  <si>
    <t xml:space="preserve">dial, default 78</t>
  </si>
  <si>
    <t xml:space="preserve">users.goal_weight_kg</t>
  </si>
  <si>
    <t xml:space="preserve">Build muscle | Lose fat | Get stronger | Stay healthy</t>
  </si>
  <si>
    <t xml:space="preserve">users.goal</t>
  </si>
  <si>
    <t xml:space="preserve">Build muscle=Hypertrophy; Lose fat=Fat Loss; Get stronger=Strength; Stay healthy=General Fitness</t>
  </si>
  <si>
    <t xml:space="preserve">Split Selector, Prescription Logic, Weekly Volume</t>
  </si>
  <si>
    <t xml:space="preserve">focal_points</t>
  </si>
  <si>
    <t xml:space="preserve">Chest|Back|Shoulders|Arms|Legs|Glutes|Core|Abs (max 2, skippable)</t>
  </si>
  <si>
    <t xml:space="preserve">users.focal_points[]</t>
  </si>
  <si>
    <t xml:space="preserve">Arms=Biceps+Triceps; Legs=Quads; Glutes=Hamstrings &amp; Glutes; Abs=Core; others map by name. Max 2, empty allowed</t>
  </si>
  <si>
    <t xml:space="preserve">infer_ok</t>
  </si>
  <si>
    <t xml:space="preserve">Session Templates (Focus), Weekly Volume focal adjustment, UL5</t>
  </si>
  <si>
    <t xml:space="preserve">Beginner (&lt;6mo) | Intermediate (6mo-3yr) | Advanced (3yr+)</t>
  </si>
  <si>
    <t xml:space="preserve">users.experience</t>
  </si>
  <si>
    <t xml:space="preserve">Beginner | Intermediate | Advanced</t>
  </si>
  <si>
    <t xml:space="preserve">Split Selector, Safety Rules P01, Weekly Volume</t>
  </si>
  <si>
    <t xml:space="preserve">training_days</t>
  </si>
  <si>
    <t xml:space="preserve">weekday multi-tap, default Mon Wed Fri Sat</t>
  </si>
  <si>
    <t xml:space="preserve">users.days_available[]</t>
  </si>
  <si>
    <t xml:space="preserve">array of gym weekdays only, sport excluded; editable post-onboarding, scheduler re-plans on change</t>
  </si>
  <si>
    <t xml:space="preserve">Split Selector (count), Schedule Rules (placement)</t>
  </si>
  <si>
    <t xml:space="preserve">session_length_min</t>
  </si>
  <si>
    <t xml:space="preserve">30 | 45 | 60 | 75</t>
  </si>
  <si>
    <t xml:space="preserve">users.session_length_min</t>
  </si>
  <si>
    <t xml:space="preserve">int minutes</t>
  </si>
  <si>
    <t xml:space="preserve">Session Templates budget (exercise and set count)</t>
  </si>
  <si>
    <t xml:space="preserve">equipment_preset</t>
  </si>
  <si>
    <t xml:space="preserve">Full Gym | Home Basics | Dorm/Bodyweight</t>
  </si>
  <si>
    <t xml:space="preserve">users.equipment_tier</t>
  </si>
  <si>
    <t xml:space="preserve">Full Gym=Full Gym; Home Basics=Basic Gym; Dorm/Bodyweight=Bodyweight</t>
  </si>
  <si>
    <t xml:space="preserve">Exercise Database tier filter</t>
  </si>
  <si>
    <t xml:space="preserve">equipment_tags</t>
  </si>
  <si>
    <t xml:space="preserve">optional chips: Barbell+plates | Squat rack | Pull-up bar | Bench or chair | Kettlebell | Resistance bands | Sliders or a towel</t>
  </si>
  <si>
    <t xml:space="preserve">users.equipment_tags[]</t>
  </si>
  <si>
    <t xml:space="preserve">Full Gym=all tags; Home Basics base=dumbbell,band,bench/chair plus any ticked extras (barbell, squat_rack, etc); Bodyweight base=none plus any ticked</t>
  </si>
  <si>
    <t xml:space="preserve">Exercise Database required_equipment_tags filter</t>
  </si>
  <si>
    <t xml:space="preserve">12</t>
  </si>
  <si>
    <t xml:space="preserve">screening_q1_heart</t>
  </si>
  <si>
    <t xml:space="preserve">Yes | No</t>
  </si>
  <si>
    <t xml:space="preserve">users.screening.answers.q1</t>
  </si>
  <si>
    <t xml:space="preserve">bool</t>
  </si>
  <si>
    <t xml:space="preserve">Screening Outcomes routing</t>
  </si>
  <si>
    <t xml:space="preserve">screening_q2_chest_active</t>
  </si>
  <si>
    <t xml:space="preserve">users.screening.answers.q2</t>
  </si>
  <si>
    <t xml:space="preserve">screening_q3_chest_rest</t>
  </si>
  <si>
    <t xml:space="preserve">users.screening.answers.q3</t>
  </si>
  <si>
    <t xml:space="preserve">screening_q4_dizzy_faint</t>
  </si>
  <si>
    <t xml:space="preserve">users.screening.answers.q4</t>
  </si>
  <si>
    <t xml:space="preserve">screening_q5_joint</t>
  </si>
  <si>
    <t xml:space="preserve">users.screening.answers.q5</t>
  </si>
  <si>
    <t xml:space="preserve">Screening Outcomes (Yes triggers joint follow-ups, which decide MODIFY vs CLEARANCE)</t>
  </si>
  <si>
    <t xml:space="preserve">screening_q6_pregnancy</t>
  </si>
  <si>
    <t xml:space="preserve">users.screening.answers.q6</t>
  </si>
  <si>
    <t xml:space="preserve">Screening Outcomes (clearance route)</t>
  </si>
  <si>
    <t xml:space="preserve">screening_q7_other</t>
  </si>
  <si>
    <t xml:space="preserve">users.screening.answers.q7</t>
  </si>
  <si>
    <t xml:space="preserve">screening_outcome</t>
  </si>
  <si>
    <t xml:space="preserve">derived, not asked</t>
  </si>
  <si>
    <t xml:space="preserve">users.screening.outcome</t>
  </si>
  <si>
    <t xml:space="preserve">all No=CLEAR; q5 Yes with follow-ups minor=MODIFY_AND_CONTINUE; q5 Yes with follow-ups painful/treated/restricted=REQUIRE_PROFESSIONAL_CLEARANCE; any of q1-q4,q6,q7 Yes=REQUIRE_PROFESSIONAL_CLEARANCE; symptom at rest or advised against=DO_NOT_GENERATE</t>
  </si>
  <si>
    <t xml:space="preserve">Safety Rule S05 (gates generation)</t>
  </si>
  <si>
    <t xml:space="preserve">waiver_ack</t>
  </si>
  <si>
    <t xml:space="preserve">checkbox on same screen</t>
  </si>
  <si>
    <t xml:space="preserve">users.screening.waiver_accepted</t>
  </si>
  <si>
    <t xml:space="preserve">bool, must be true to proceed</t>
  </si>
  <si>
    <t xml:space="preserve">Terms of Use record</t>
  </si>
  <si>
    <t xml:space="preserve">limitations</t>
  </si>
  <si>
    <t xml:space="preserve">None|Lower back|Neck|Shoulders|Elbows|Wrists|Hips|Knees|Ankles|Achilles or calf|Feet</t>
  </si>
  <si>
    <t xml:space="preserve">users.affected_regions[]</t>
  </si>
  <si>
    <t xml:space="preserve">array of region tokens; each maps to an Injury Modifications region. Free text removed. Achilles/calf maps to ankle region.</t>
  </si>
  <si>
    <t xml:space="preserve">MODIFY_AND_CONTINUE (prefers Supported=Yes, Impact=Low for region)</t>
  </si>
  <si>
    <t xml:space="preserve">anything_else</t>
  </si>
  <si>
    <t xml:space="preserve">free text, optional</t>
  </si>
  <si>
    <t xml:space="preserve">users.notes</t>
  </si>
  <si>
    <t xml:space="preserve">AI scans for health red-flags; any found route to screening/clearance (S05), not just stored. Not a screening substitute.</t>
  </si>
  <si>
    <t xml:space="preserve">AI review, not a screening substitute</t>
  </si>
  <si>
    <t xml:space="preserve">None|Basketball|Football|Running|Tennis|Swimming|Cycling|Dance|Martial arts|Rock climbing|Gym classes|Walking/hiking|Rowing|Yoga/Pilates|Golf|Skating|Surfing|Active job|Other</t>
  </si>
  <si>
    <t xml:space="preserve">users.commitments[].commitment_type</t>
  </si>
  <si>
    <t xml:space="preserve">maps to External Commitments commitment_type; Other stored as free text and AI-classified</t>
  </si>
  <si>
    <t xml:space="preserve">External Commitments, Schedule Rules adjacency</t>
  </si>
  <si>
    <t xml:space="preserve">commitment_days</t>
  </si>
  <si>
    <t xml:space="preserve">weekday chips (if not None)</t>
  </si>
  <si>
    <t xml:space="preserve">users.commitments[].day</t>
  </si>
  <si>
    <t xml:space="preserve">array of weekdays</t>
  </si>
  <si>
    <t xml:space="preserve">Schedule Rules adjacency</t>
  </si>
  <si>
    <t xml:space="preserve">commitment_intensity</t>
  </si>
  <si>
    <t xml:space="preserve">Easy | Moderate | Hard</t>
  </si>
  <si>
    <t xml:space="preserve">users.commitments[].intensity</t>
  </si>
  <si>
    <t xml:space="preserve">easy | moderate | hard</t>
  </si>
  <si>
    <t xml:space="preserve">External Commitments (scales cut and rir penalty)</t>
  </si>
  <si>
    <t xml:space="preserve">diet</t>
  </si>
  <si>
    <t xml:space="preserve">No restrictions|Vegetarian|Vegan|Halal|Dairy-free|Gluten-free|High-protein (multi)</t>
  </si>
  <si>
    <t xml:space="preserve">users.diet[]</t>
  </si>
  <si>
    <t xml:space="preserve">array of tokens</t>
  </si>
  <si>
    <t xml:space="preserve">tight_budget</t>
  </si>
  <si>
    <t xml:space="preserve">toggle</t>
  </si>
  <si>
    <t xml:space="preserve">users.tight_budget</t>
  </si>
  <si>
    <t xml:space="preserve">motivation</t>
  </si>
  <si>
    <t xml:space="preserve">users.motivation</t>
  </si>
  <si>
    <t xml:space="preserve">string or null</t>
  </si>
  <si>
    <t xml:space="preserve">Notes for the build</t>
  </si>
  <si>
    <t xml:space="preserve">- Screening is the final onboarding step (step 12), placed after motivation but BEFORE the first program is generated. Generator Flow step 1 reads the stored screening outcome, so the screen must be completed at the end of onboarding and the result saved before generation runs. It gates generation via Safety Rule S05.</t>
  </si>
  <si>
    <t xml:space="preserve">- Screening is a real screen, not a Terms of Use clause: the answers must change what the app does, which a buried waiver cannot. The waiver checkbox sits on the same screen, on top of it, not instead of it.</t>
  </si>
  <si>
    <t xml:space="preserve">- REQUIRE_PROFESSIONAL_CLEARANCE and DO_NOT_GENERATE outcomes stop generation. The app shows a neutral message directing the user to a health professional and unlocks generation only after clearance is confirmed. No diagnosis language.</t>
  </si>
  <si>
    <t xml:space="preserve">- The 'anything else' free text on step 8 is an addition, never a replacement for the seven structured questions. It catches extra detail; it does not route on its own.</t>
  </si>
  <si>
    <t xml:space="preserve">- Every 'ask' row must be present before step 3 of the Generator Flow runs. Every 'infer_ok' row may be defaulted at generation and refined later in conversation with the AI.</t>
  </si>
  <si>
    <t xml:space="preserve">- All canonical mappings live in one code lookup, shared by the wizard and the generator, so onboarding answers and backend behaviour can never drift.</t>
  </si>
  <si>
    <t xml:space="preserve">Example Week</t>
  </si>
  <si>
    <t xml:space="preserve">What the pipeline produces for one concrete user: Intermediate, Hypertrophy goal, 4 days, Basic Gym, no focal points, screening CLEAR. Split Selector returns UL4. Every exercise passes the Basic Gym and skill filters, prescriptions come from Hypertrophy rows of the grid, all sets at RIR 1 to 2, rest 90 to 180 sec on compounds and 60 to 90 on isolations. This sheet is illustrative only, the generator never reads it.</t>
  </si>
  <si>
    <t xml:space="preserve">day</t>
  </si>
  <si>
    <t xml:space="preserve">slot_1</t>
  </si>
  <si>
    <t xml:space="preserve">slot_2</t>
  </si>
  <si>
    <t xml:space="preserve">slot_3</t>
  </si>
  <si>
    <t xml:space="preserve">slot_4</t>
  </si>
  <si>
    <t xml:space="preserve">slot_5</t>
  </si>
  <si>
    <t xml:space="preserve">slot_6</t>
  </si>
  <si>
    <t xml:space="preserve">Day 1</t>
  </si>
  <si>
    <t xml:space="preserve">Dumbbell Bench Press 3x8-12</t>
  </si>
  <si>
    <t xml:space="preserve">Seated Cable Row 3x8-12</t>
  </si>
  <si>
    <t xml:space="preserve">Seated Dumbbell Shoulder Press 3x8-12</t>
  </si>
  <si>
    <t xml:space="preserve">Lat Pulldown 3x10-12</t>
  </si>
  <si>
    <t xml:space="preserve">Hammer Curl 2x10-15</t>
  </si>
  <si>
    <t xml:space="preserve">Triceps Pushdown 2x10-15</t>
  </si>
  <si>
    <t xml:space="preserve">Day 2</t>
  </si>
  <si>
    <t xml:space="preserve">Goblet Squat 3x8-12</t>
  </si>
  <si>
    <t xml:space="preserve">Romanian Deadlift 3x8-12</t>
  </si>
  <si>
    <t xml:space="preserve">Split Squat 3x8-10 each</t>
  </si>
  <si>
    <t xml:space="preserve">Lying Leg Curl 3x10-15</t>
  </si>
  <si>
    <t xml:space="preserve">Standing Calf Raise 2x10-15</t>
  </si>
  <si>
    <t xml:space="preserve">Plank 3x30-45 sec</t>
  </si>
  <si>
    <t xml:space="preserve">Day 3</t>
  </si>
  <si>
    <t xml:space="preserve">Rest</t>
  </si>
  <si>
    <t xml:space="preserve">Day 4</t>
  </si>
  <si>
    <t xml:space="preserve">Incline Dumbbell Press 3x8-12</t>
  </si>
  <si>
    <t xml:space="preserve">Chest Supported Dumbbell Row 3x8-12</t>
  </si>
  <si>
    <t xml:space="preserve">Arnold Press 3x8-12</t>
  </si>
  <si>
    <t xml:space="preserve">Band Assisted Chin Up 3x6-10</t>
  </si>
  <si>
    <t xml:space="preserve">Barbell Curl 2x8-12</t>
  </si>
  <si>
    <t xml:space="preserve">Overhead Cable Extension 2x10-15</t>
  </si>
  <si>
    <t xml:space="preserve">Day 5</t>
  </si>
  <si>
    <t xml:space="preserve">Leg Press 3x8-12</t>
  </si>
  <si>
    <t xml:space="preserve">Hip Thrust 3x8-12</t>
  </si>
  <si>
    <t xml:space="preserve">Walking Lunge 3x10 each</t>
  </si>
  <si>
    <t xml:space="preserve">Seated Leg Curl 3x10-15</t>
  </si>
  <si>
    <t xml:space="preserve">Seated Calf Raise 2x10-15</t>
  </si>
  <si>
    <t xml:space="preserve">Dead Bug 3x8-10 each</t>
  </si>
  <si>
    <t xml:space="preserve">Day 6</t>
  </si>
  <si>
    <t xml:space="preserve">Day 7</t>
  </si>
  <si>
    <t xml:space="preserve">Scheduling Example: Same User, Basketball Every Monday</t>
  </si>
  <si>
    <t xml:space="preserve">placed</t>
  </si>
  <si>
    <t xml:space="preserve">Monday</t>
  </si>
  <si>
    <t xml:space="preserve">Basketball (commitment)</t>
  </si>
  <si>
    <t xml:space="preserve">Declared at onboarding. Classified as basketball: lower body impact plus conditioning.</t>
  </si>
  <si>
    <t xml:space="preserve">Tuesday</t>
  </si>
  <si>
    <t xml:space="preserve">SCH04: the day after basketball gets Upper, never Legs. Adjacency handled.</t>
  </si>
  <si>
    <t xml:space="preserve">Wednesday</t>
  </si>
  <si>
    <t xml:space="preserve">48 hours clear of basketball on both sides. SCH05 placed this day first.</t>
  </si>
  <si>
    <t xml:space="preserve">Thursday</t>
  </si>
  <si>
    <t xml:space="preserve">SCH02 rest floor.</t>
  </si>
  <si>
    <t xml:space="preserve">Friday</t>
  </si>
  <si>
    <t xml:space="preserve">48 hours after Tuesday's Upper, satisfies SCH03.</t>
  </si>
  <si>
    <t xml:space="preserve">Saturday</t>
  </si>
  <si>
    <t xml:space="preserve">48 hours after Wednesday's Lower, and two clear days before Monday's basketball.</t>
  </si>
  <si>
    <t xml:space="preserve">Sunday</t>
  </si>
  <si>
    <t xml:space="preserve">Second rest day before the commitment.</t>
  </si>
  <si>
    <t xml:space="preserve">Volume note</t>
  </si>
  <si>
    <t xml:space="preserve">External Commitments: weekly Quads and Hamstrings &amp; Glutes budget reduced by 3 sets, one Interval slot removed because basketball already covers conditioning.</t>
  </si>
  <si>
    <t xml:space="preserve">Custom Split Example: User Requests Push Pull Legs Push</t>
  </si>
  <si>
    <t xml:space="preserve">check</t>
  </si>
  <si>
    <t xml:space="preserve">result</t>
  </si>
  <si>
    <t xml:space="preserve">CS01 compile</t>
  </si>
  <si>
    <t xml:space="preserve">Stored as 'Push|Pull|Legs|Push'. Downstream sheets unchanged.</t>
  </si>
  <si>
    <t xml:space="preserve">CS02 coverage</t>
  </si>
  <si>
    <t xml:space="preserve">All muscles covered: chest, shoulders and triceps twice, back, biceps and legs once. Passes, no warning.</t>
  </si>
  <si>
    <t xml:space="preserve">CS03 spacing</t>
  </si>
  <si>
    <t xml:space="preserve">Scheduled Mon Push, Tue Pull, Thu Legs, Sat Push. Both Push days more than 48 hours apart.</t>
  </si>
  <si>
    <t xml:space="preserve">CS04 volume</t>
  </si>
  <si>
    <t xml:space="preserve">Weekly chest, shoulder and triceps budget split across the two Push days. Second Push day draws different exercises: Monday gets Barbell Bench Press and Barbell Overhead Press, Saturday gets Incline Dumbbell Press and Arnold Press.</t>
  </si>
  <si>
    <t xml:space="preserve">CS05 caps</t>
  </si>
  <si>
    <t xml:space="preserve">All prescriptions, RIR floors and safety rules unchanged.</t>
  </si>
  <si>
    <t xml:space="preserve">What The Rep Number Actually Means</t>
  </si>
  <si>
    <t xml:space="preserve">Reference material for the app, and for anything user facing. Reps are a proxy for load. That is the whole idea.</t>
  </si>
  <si>
    <t xml:space="preserve">Rep Range</t>
  </si>
  <si>
    <t xml:space="preserve">Roughly</t>
  </si>
  <si>
    <t xml:space="preserve">Primary Adaptation</t>
  </si>
  <si>
    <t xml:space="preserve">What It Feels Like</t>
  </si>
  <si>
    <t xml:space="preserve">Use It When</t>
  </si>
  <si>
    <t xml:space="preserve">The Catch</t>
  </si>
  <si>
    <t xml:space="preserve">1 to 3</t>
  </si>
  <si>
    <t xml:space="preserve">90%+ of 1RM</t>
  </si>
  <si>
    <t xml:space="preserve">Maximal strength. Almost entirely neural. The muscle barely changes, the nervous system learns to recruit it</t>
  </si>
  <si>
    <t xml:space="preserve">Heavy, slow, total concentration. The bar moves whether you like it or not</t>
  </si>
  <si>
    <t xml:space="preserve">Testing a max, or peaking a strength block. Rare for a student population</t>
  </si>
  <si>
    <t xml:space="preserve">Highest technical and injury risk. Needs a spotter and a lift the user has done for months. Not for a remote app to prescribe casually</t>
  </si>
  <si>
    <t xml:space="preserve">4 to 6</t>
  </si>
  <si>
    <t xml:space="preserve">80 to 90%</t>
  </si>
  <si>
    <t xml:space="preserve">Strength with a little size. The best all round strength range</t>
  </si>
  <si>
    <t xml:space="preserve">Hard from rep one. Speed drops noticeably on the last rep</t>
  </si>
  <si>
    <t xml:space="preserve">The default strength range. Where a compound lift should live in a strength block</t>
  </si>
  <si>
    <t xml:space="preserve">Fatiguing on the joints and the nervous system. Needs long rest, so sessions run long</t>
  </si>
  <si>
    <t xml:space="preserve">6 to 12</t>
  </si>
  <si>
    <t xml:space="preserve">70 to 80%</t>
  </si>
  <si>
    <t xml:space="preserve">The classic hypertrophy range. Enough load for tension, enough reps for volume</t>
  </si>
  <si>
    <t xml:space="preserve">Burning by rep eight, genuinely hard by rep ten</t>
  </si>
  <si>
    <t xml:space="preserve">The default for most users on most exercises. If in doubt, prescribe here</t>
  </si>
  <si>
    <t xml:space="preserve">It is not magic. It is popular because it balances load and volume efficiently, not because the muscle counts reps</t>
  </si>
  <si>
    <t xml:space="preserve">12 to 20</t>
  </si>
  <si>
    <t xml:space="preserve">60 to 70%</t>
  </si>
  <si>
    <t xml:space="preserve">Hypertrophy plus muscular endurance. Equal growth to the mid range IF taken close to failure</t>
  </si>
  <si>
    <t xml:space="preserve">A deep burn. The last few reps are grim and slow</t>
  </si>
  <si>
    <t xml:space="preserve">Isolation work, bodyweight exercises, anything where load cannot be added easily</t>
  </si>
  <si>
    <t xml:space="preserve">Most people stop well short of failure here because it is uncomfortable. Under effort, this range does very little</t>
  </si>
  <si>
    <t xml:space="preserve">20+</t>
  </si>
  <si>
    <t xml:space="preserve">Under 60%</t>
  </si>
  <si>
    <t xml:space="preserve">Muscular endurance, work capacity, local conditioning</t>
  </si>
  <si>
    <t xml:space="preserve">Cardiovascular before it is muscular. Lungs give up before the muscle</t>
  </si>
  <si>
    <t xml:space="preserve">Conditioning, circuits, warm ups, rehab</t>
  </si>
  <si>
    <t xml:space="preserve">Poor return on time for both strength and size. The set ends because you are out of breath, not because the muscle failed</t>
  </si>
  <si>
    <t xml:space="preserve">Rules That Override The Table Above</t>
  </si>
  <si>
    <t xml:space="preserve">Effort beats rep range</t>
  </si>
  <si>
    <t xml:space="preserve">For muscle growth, a set of 8 and a set of 20 produce similar results IF both are taken within a couple of reps of failure. A set of 8 at RIR 5 produces almost nothing. Proximity to failure is the variable that matters. Rep range mostly decides how unpleasant getting there is.</t>
  </si>
  <si>
    <t xml:space="preserve">Load cannot be faked for strength</t>
  </si>
  <si>
    <t xml:space="preserve">Strength is specific to heavy load. There is no rep scheme that makes a bodyweight squat build a heavy back squat. This is the hard ceiling for the 20 Rep class and 8 Time class exercises in the database, and the app should say so rather than pretend.</t>
  </si>
  <si>
    <t xml:space="preserve">Compounds get fewer reps and more rest</t>
  </si>
  <si>
    <t xml:space="preserve">A compound lift fatigues the whole system, so it goes first in the session, in a lower rep range, with longer rest. An isolation lift fatigues one muscle, so it goes last, higher reps, short rest. The Type column already carries this.</t>
  </si>
  <si>
    <t xml:space="preserve">Never take Power or Advanced exercises to failure</t>
  </si>
  <si>
    <t xml:space="preserve">A failed jump squat is a fall. A failed deadlift is a back injury. These exercises stop at RIR 2 or higher regardless of the user goal. This is a hard rule in the generator, not a suggestion.</t>
  </si>
  <si>
    <t xml:space="preserve">Weekly sets per muscle matter more than any single session</t>
  </si>
  <si>
    <t xml:space="preserve">Roughly 10 to 20 hard sets per muscle per week for growth, 6 to 10 for general fitness. The generator should budget at this level and let session structure follow, not the reverse.</t>
  </si>
  <si>
    <t xml:space="preserve">Fat loss does not change the lifting</t>
  </si>
  <si>
    <t xml:space="preserve">In a deficit, lifting exists to keep muscle. Keep the load, cut the volume, add conditioning separately. Turning the weights session into cardio is the single most common mistake and it costs the user the muscle they are trying to keep.</t>
  </si>
</sst>
</file>

<file path=xl/styles.xml><?xml version="1.0" encoding="utf-8"?>
<styleSheet xmlns="http://schemas.openxmlformats.org/spreadsheetml/2006/main">
  <numFmts count="3">
    <numFmt numFmtId="164" formatCode="General"/>
    <numFmt numFmtId="165" formatCode="General"/>
    <numFmt numFmtId="166"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name val="Arial"/>
      <family val="0"/>
      <charset val="1"/>
    </font>
    <font>
      <b val="true"/>
      <sz val="11"/>
      <color rgb="FFFFFFFF"/>
      <name val="Arial"/>
      <family val="0"/>
      <charset val="1"/>
    </font>
    <font>
      <b val="true"/>
      <sz val="11"/>
      <name val="Arial"/>
      <family val="0"/>
      <charset val="1"/>
    </font>
    <font>
      <sz val="11"/>
      <name val="Arial"/>
      <family val="0"/>
      <charset val="1"/>
    </font>
    <font>
      <b val="true"/>
      <sz val="11"/>
      <color rgb="FF1F3864"/>
      <name val="Arial"/>
      <family val="0"/>
      <charset val="1"/>
    </font>
    <font>
      <sz val="10"/>
      <name val="Arial"/>
      <family val="0"/>
      <charset val="1"/>
    </font>
    <font>
      <b val="true"/>
      <sz val="14"/>
      <color rgb="FF1F3864"/>
      <name val="Arial"/>
      <family val="0"/>
      <charset val="1"/>
    </font>
    <font>
      <b val="true"/>
      <sz val="12"/>
      <color rgb="FF1F3864"/>
      <name val="Arial"/>
      <family val="0"/>
      <charset val="1"/>
    </font>
    <font>
      <i val="true"/>
      <sz val="11"/>
      <name val="Arial"/>
      <family val="0"/>
      <charset val="1"/>
    </font>
    <font>
      <i val="true"/>
      <sz val="9"/>
      <color rgb="FF595959"/>
      <name val="Arial"/>
      <family val="0"/>
      <charset val="1"/>
    </font>
    <font>
      <b val="true"/>
      <sz val="10"/>
      <color rgb="FFFFFFFF"/>
      <name val="Arial"/>
      <family val="0"/>
      <charset val="1"/>
    </font>
    <font>
      <b val="true"/>
      <sz val="14"/>
      <name val="Arial"/>
      <family val="0"/>
      <charset val="1"/>
    </font>
    <font>
      <b val="true"/>
      <sz val="10"/>
      <name val="Arial"/>
      <family val="0"/>
      <charset val="1"/>
    </font>
    <font>
      <b val="true"/>
      <sz val="12"/>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F2CC"/>
        <bgColor rgb="FFFCE4D6"/>
      </patternFill>
    </fill>
    <fill>
      <patternFill patternType="solid">
        <fgColor rgb="FFE2EFDA"/>
        <bgColor rgb="FFF2F5F9"/>
      </patternFill>
    </fill>
    <fill>
      <patternFill patternType="solid">
        <fgColor rgb="FFF2F5F9"/>
        <bgColor rgb="FFFFFFFF"/>
      </patternFill>
    </fill>
  </fills>
  <borders count="5">
    <border diagonalUp="false" diagonalDown="false">
      <left/>
      <right/>
      <top/>
      <bottom/>
      <diagonal/>
    </border>
    <border diagonalUp="false" diagonalDown="false">
      <left/>
      <right/>
      <top/>
      <bottom style="thin">
        <color rgb="FF1F3864"/>
      </bottom>
      <diagonal/>
    </border>
    <border diagonalUp="false" diagonalDown="false">
      <left/>
      <right/>
      <top/>
      <bottom style="hair">
        <color rgb="FFBFBFBF"/>
      </bottom>
      <diagonal/>
    </border>
    <border diagonalUp="false" diagonalDown="false">
      <left/>
      <right/>
      <top/>
      <bottom style="thin">
        <color rgb="FFBFBFBF"/>
      </bottom>
      <diagonal/>
    </border>
    <border diagonalUp="false" diagonalDown="false">
      <left/>
      <right/>
      <top/>
      <bottom style="hair">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7" fillId="3" borderId="2" xfId="0" applyFont="true" applyBorder="true" applyAlignment="tru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top" textRotation="0" wrapText="tru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7" fillId="3" borderId="2" xfId="0" applyFont="true" applyBorder="true" applyAlignment="true" applyProtection="false">
      <alignment horizontal="center" vertical="top" textRotation="0" wrapText="false" indent="0" shrinkToFit="false"/>
      <protection locked="true" hidden="false"/>
    </xf>
    <xf numFmtId="164" fontId="7" fillId="4" borderId="2" xfId="0" applyFont="true" applyBorder="true" applyAlignment="true" applyProtection="false">
      <alignment horizontal="center" vertical="top" textRotation="0" wrapText="false" indent="0" shrinkToFit="false"/>
      <protection locked="true" hidden="false"/>
    </xf>
    <xf numFmtId="164" fontId="7" fillId="5" borderId="2" xfId="0" applyFont="true" applyBorder="true" applyAlignment="true" applyProtection="false">
      <alignment horizontal="center" vertical="top"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4" fontId="10" fillId="0" borderId="4" xfId="0" applyFont="true" applyBorder="true" applyAlignment="true" applyProtection="false">
      <alignment horizontal="center" vertical="top" textRotation="0" wrapText="false" indent="0" shrinkToFit="false"/>
      <protection locked="true" hidden="false"/>
    </xf>
    <xf numFmtId="164" fontId="10" fillId="0" borderId="4" xfId="0" applyFont="true" applyBorder="true" applyAlignment="true" applyProtection="false">
      <alignment horizontal="general" vertical="top" textRotation="0" wrapText="false" indent="0" shrinkToFit="false"/>
      <protection locked="true" hidden="false"/>
    </xf>
    <xf numFmtId="164" fontId="10" fillId="0" borderId="4" xfId="0" applyFont="true" applyBorder="true" applyAlignment="true" applyProtection="false">
      <alignment horizontal="general" vertical="top" textRotation="0" wrapText="true" indent="0" shrinkToFit="false"/>
      <protection locked="true" hidden="false"/>
    </xf>
    <xf numFmtId="164" fontId="10" fillId="0" borderId="4" xfId="0" applyFont="true" applyBorder="true" applyAlignment="true" applyProtection="false">
      <alignment horizontal="left" vertical="top" textRotation="0" wrapText="true" indent="0" shrinkToFit="false"/>
      <protection locked="true" hidden="false"/>
    </xf>
    <xf numFmtId="164" fontId="10" fillId="0" borderId="4" xfId="0" applyFont="true" applyBorder="true" applyAlignment="true" applyProtection="false">
      <alignment horizontal="left" vertical="top" textRotation="0" wrapText="false" indent="0" shrinkToFit="false"/>
      <protection locked="true" hidden="false"/>
    </xf>
    <xf numFmtId="164" fontId="10" fillId="6" borderId="4" xfId="0" applyFont="true" applyBorder="true" applyAlignment="true" applyProtection="false">
      <alignment horizontal="center" vertical="top" textRotation="0" wrapText="false" indent="0" shrinkToFit="false"/>
      <protection locked="true" hidden="false"/>
    </xf>
    <xf numFmtId="164" fontId="10" fillId="6" borderId="4" xfId="0" applyFont="true" applyBorder="true" applyAlignment="true" applyProtection="false">
      <alignment horizontal="general" vertical="top" textRotation="0" wrapText="false" indent="0" shrinkToFit="false"/>
      <protection locked="true" hidden="false"/>
    </xf>
    <xf numFmtId="164" fontId="10" fillId="6" borderId="4" xfId="0" applyFont="true" applyBorder="true" applyAlignment="true" applyProtection="false">
      <alignment horizontal="general" vertical="top"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top" textRotation="0" wrapText="false" indent="0" shrinkToFit="false"/>
      <protection locked="true" hidden="false"/>
    </xf>
    <xf numFmtId="164" fontId="15" fillId="2"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center"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6" borderId="0" xfId="0" applyFont="true" applyBorder="false" applyAlignment="true" applyProtection="false">
      <alignment horizontal="general" vertical="top" textRotation="0" wrapText="false" indent="0" shrinkToFit="false"/>
      <protection locked="true" hidden="false"/>
    </xf>
    <xf numFmtId="164" fontId="10" fillId="6" borderId="0" xfId="0" applyFont="true" applyBorder="false" applyAlignment="true" applyProtection="false">
      <alignment horizontal="general" vertical="top" textRotation="0" wrapText="fals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2F5F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5.xml.rels><?xml version="1.0" encoding="UTF-8"?>
<Relationships xmlns="http://schemas.openxmlformats.org/package/2006/relationships"><Relationship Id="rId1" Type="http://schemas.openxmlformats.org/officeDocument/2006/relationships/drawing" Target="../drawings/drawing21.xml"/>
</Relationships>
</file>

<file path=xl/worksheets/_rels/sheet26.xml.rels><?xml version="1.0" encoding="UTF-8"?>
<Relationships xmlns="http://schemas.openxmlformats.org/package/2006/relationships"><Relationship Id="rId1" Type="http://schemas.openxmlformats.org/officeDocument/2006/relationships/drawing" Target="../drawings/drawing22.xml"/>
</Relationships>
</file>

<file path=xl/worksheets/_rels/sheet27.xml.rels><?xml version="1.0" encoding="UTF-8"?>
<Relationships xmlns="http://schemas.openxmlformats.org/package/2006/relationships"><Relationship Id="rId1" Type="http://schemas.openxmlformats.org/officeDocument/2006/relationships/drawing" Target="../drawings/drawing23.xml"/>
</Relationships>
</file>

<file path=xl/worksheets/_rels/sheet28.xml.rels><?xml version="1.0" encoding="UTF-8"?>
<Relationships xmlns="http://schemas.openxmlformats.org/package/2006/relationships"><Relationship Id="rId1" Type="http://schemas.openxmlformats.org/officeDocument/2006/relationships/drawing" Target="../drawings/drawing24.xml"/>
</Relationships>
</file>

<file path=xl/worksheets/_rels/sheet29.xml.rels><?xml version="1.0" encoding="UTF-8"?>
<Relationships xmlns="http://schemas.openxmlformats.org/package/2006/relationships"><Relationship Id="rId1" Type="http://schemas.openxmlformats.org/officeDocument/2006/relationships/drawing" Target="../drawings/drawing25.xml"/>
</Relationships>
</file>

<file path=xl/worksheets/_rels/sheet30.xml.rels><?xml version="1.0" encoding="UTF-8"?>
<Relationships xmlns="http://schemas.openxmlformats.org/package/2006/relationships"><Relationship Id="rId1" Type="http://schemas.openxmlformats.org/officeDocument/2006/relationships/drawing" Target="../drawings/drawing26.xml"/>
</Relationships>
</file>

<file path=xl/worksheets/_rels/sheet31.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0"/>
    <col collapsed="false" customWidth="true" hidden="false" outlineLevel="0" max="3" min="3" style="1" width="34"/>
    <col collapsed="false" customWidth="true" hidden="false" outlineLevel="0" max="4" min="4" style="1" width="16"/>
    <col collapsed="false" customWidth="true" hidden="false" outlineLevel="0" max="5" min="5" style="1" width="52"/>
    <col collapsed="false" customWidth="true" hidden="false" outlineLevel="0" max="6" min="6" style="1" width="26"/>
  </cols>
  <sheetData>
    <row r="1" customFormat="false" ht="19.5" hidden="false" customHeight="true" outlineLevel="0" collapsed="false">
      <c r="A1" s="2" t="s">
        <v>0</v>
      </c>
      <c r="B1" s="2"/>
      <c r="C1" s="2"/>
      <c r="D1" s="2"/>
      <c r="E1" s="2"/>
      <c r="F1" s="2"/>
    </row>
    <row r="2" customFormat="false" ht="42" hidden="false" customHeight="true" outlineLevel="0" collapsed="false">
      <c r="A2" s="3" t="s">
        <v>1</v>
      </c>
      <c r="B2" s="3"/>
      <c r="C2" s="3"/>
      <c r="D2" s="3"/>
      <c r="E2" s="3"/>
      <c r="F2" s="3"/>
    </row>
    <row r="4" customFormat="false" ht="15" hidden="false" customHeight="true" outlineLevel="0" collapsed="false">
      <c r="A4" s="4" t="s">
        <v>2</v>
      </c>
      <c r="B4" s="4" t="s">
        <v>3</v>
      </c>
      <c r="C4" s="4" t="s">
        <v>4</v>
      </c>
      <c r="D4" s="4" t="s">
        <v>5</v>
      </c>
      <c r="E4" s="4" t="s">
        <v>6</v>
      </c>
      <c r="F4" s="4" t="s">
        <v>7</v>
      </c>
    </row>
    <row r="5" customFormat="false" ht="39" hidden="false" customHeight="true" outlineLevel="0" collapsed="false">
      <c r="A5" s="5" t="s">
        <v>8</v>
      </c>
      <c r="B5" s="6" t="s">
        <v>9</v>
      </c>
      <c r="C5" s="6" t="s">
        <v>10</v>
      </c>
      <c r="D5" s="6" t="s">
        <v>11</v>
      </c>
      <c r="E5" s="6" t="s">
        <v>12</v>
      </c>
      <c r="F5" s="6" t="s">
        <v>11</v>
      </c>
    </row>
    <row r="6" customFormat="false" ht="15" hidden="false" customHeight="true" outlineLevel="0" collapsed="false">
      <c r="A6" s="5" t="s">
        <v>13</v>
      </c>
      <c r="B6" s="6" t="s">
        <v>14</v>
      </c>
      <c r="C6" s="6" t="s">
        <v>15</v>
      </c>
      <c r="D6" s="6" t="s">
        <v>16</v>
      </c>
      <c r="E6" s="6" t="s">
        <v>17</v>
      </c>
      <c r="F6" s="6" t="s">
        <v>18</v>
      </c>
    </row>
    <row r="7" customFormat="false" ht="51.75" hidden="false" customHeight="true" outlineLevel="0" collapsed="false">
      <c r="A7" s="5" t="s">
        <v>13</v>
      </c>
      <c r="B7" s="6" t="s">
        <v>19</v>
      </c>
      <c r="C7" s="6" t="s">
        <v>20</v>
      </c>
      <c r="D7" s="6" t="s">
        <v>21</v>
      </c>
      <c r="E7" s="6" t="s">
        <v>22</v>
      </c>
      <c r="F7" s="6" t="s">
        <v>23</v>
      </c>
    </row>
    <row r="8" customFormat="false" ht="15" hidden="false" customHeight="true" outlineLevel="0" collapsed="false">
      <c r="A8" s="5" t="s">
        <v>13</v>
      </c>
      <c r="B8" s="6" t="s">
        <v>24</v>
      </c>
      <c r="C8" s="6" t="s">
        <v>25</v>
      </c>
      <c r="D8" s="6" t="s">
        <v>26</v>
      </c>
      <c r="E8" s="6" t="s">
        <v>27</v>
      </c>
      <c r="F8" s="6" t="s">
        <v>18</v>
      </c>
    </row>
    <row r="9" customFormat="false" ht="15" hidden="false" customHeight="true" outlineLevel="0" collapsed="false">
      <c r="A9" s="5" t="s">
        <v>28</v>
      </c>
      <c r="B9" s="6" t="s">
        <v>29</v>
      </c>
      <c r="C9" s="6" t="s">
        <v>30</v>
      </c>
      <c r="D9" s="6" t="s">
        <v>31</v>
      </c>
      <c r="E9" s="6" t="s">
        <v>32</v>
      </c>
      <c r="F9" s="6" t="s">
        <v>18</v>
      </c>
    </row>
    <row r="10" customFormat="false" ht="15" hidden="false" customHeight="true" outlineLevel="0" collapsed="false">
      <c r="A10" s="5" t="s">
        <v>28</v>
      </c>
      <c r="B10" s="6" t="s">
        <v>33</v>
      </c>
      <c r="C10" s="6" t="s">
        <v>34</v>
      </c>
      <c r="D10" s="6" t="s">
        <v>35</v>
      </c>
      <c r="E10" s="6" t="s">
        <v>36</v>
      </c>
      <c r="F10" s="6" t="s">
        <v>18</v>
      </c>
    </row>
    <row r="11" customFormat="false" ht="15" hidden="false" customHeight="true" outlineLevel="0" collapsed="false">
      <c r="A11" s="5" t="s">
        <v>28</v>
      </c>
      <c r="B11" s="6" t="s">
        <v>37</v>
      </c>
      <c r="C11" s="6" t="s">
        <v>34</v>
      </c>
      <c r="D11" s="6" t="s">
        <v>38</v>
      </c>
      <c r="E11" s="6" t="s">
        <v>32</v>
      </c>
      <c r="F11" s="6" t="s">
        <v>18</v>
      </c>
    </row>
    <row r="12" customFormat="false" ht="15" hidden="false" customHeight="true" outlineLevel="0" collapsed="false">
      <c r="A12" s="5" t="s">
        <v>39</v>
      </c>
      <c r="B12" s="6" t="s">
        <v>40</v>
      </c>
      <c r="C12" s="6" t="s">
        <v>41</v>
      </c>
      <c r="D12" s="6" t="s">
        <v>42</v>
      </c>
      <c r="E12" s="6" t="s">
        <v>43</v>
      </c>
      <c r="F12" s="6" t="s">
        <v>44</v>
      </c>
    </row>
    <row r="13" customFormat="false" ht="51.75" hidden="false" customHeight="true" outlineLevel="0" collapsed="false">
      <c r="A13" s="5" t="s">
        <v>39</v>
      </c>
      <c r="B13" s="6" t="s">
        <v>45</v>
      </c>
      <c r="C13" s="6" t="s">
        <v>46</v>
      </c>
      <c r="D13" s="6" t="s">
        <v>47</v>
      </c>
      <c r="E13" s="6" t="s">
        <v>48</v>
      </c>
      <c r="F13" s="6" t="s">
        <v>49</v>
      </c>
    </row>
    <row r="14" customFormat="false" ht="39" hidden="false" customHeight="true" outlineLevel="0" collapsed="false">
      <c r="A14" s="5" t="s">
        <v>50</v>
      </c>
      <c r="B14" s="6" t="s">
        <v>51</v>
      </c>
      <c r="C14" s="6" t="s">
        <v>52</v>
      </c>
      <c r="D14" s="6" t="s">
        <v>53</v>
      </c>
      <c r="E14" s="6" t="s">
        <v>54</v>
      </c>
      <c r="F14" s="6" t="s">
        <v>55</v>
      </c>
    </row>
    <row r="15" customFormat="false" ht="39" hidden="false" customHeight="true" outlineLevel="0" collapsed="false">
      <c r="A15" s="5" t="s">
        <v>50</v>
      </c>
      <c r="B15" s="6" t="s">
        <v>56</v>
      </c>
      <c r="C15" s="6" t="s">
        <v>57</v>
      </c>
      <c r="D15" s="6" t="s">
        <v>11</v>
      </c>
      <c r="E15" s="6" t="s">
        <v>58</v>
      </c>
      <c r="F15" s="6" t="s">
        <v>59</v>
      </c>
    </row>
    <row r="16" customFormat="false" ht="39" hidden="false" customHeight="true" outlineLevel="0" collapsed="false">
      <c r="A16" s="5" t="s">
        <v>60</v>
      </c>
      <c r="B16" s="6" t="s">
        <v>61</v>
      </c>
      <c r="C16" s="6" t="s">
        <v>62</v>
      </c>
      <c r="D16" s="6" t="s">
        <v>63</v>
      </c>
      <c r="E16" s="6" t="s">
        <v>64</v>
      </c>
      <c r="F16" s="6" t="s">
        <v>65</v>
      </c>
    </row>
    <row r="17" customFormat="false" ht="39" hidden="false" customHeight="true" outlineLevel="0" collapsed="false">
      <c r="A17" s="5" t="s">
        <v>60</v>
      </c>
      <c r="B17" s="6" t="s">
        <v>66</v>
      </c>
      <c r="C17" s="6" t="s">
        <v>67</v>
      </c>
      <c r="D17" s="6" t="s">
        <v>68</v>
      </c>
      <c r="E17" s="6" t="s">
        <v>69</v>
      </c>
      <c r="F17" s="6" t="s">
        <v>70</v>
      </c>
    </row>
    <row r="18" customFormat="false" ht="26.25" hidden="false" customHeight="true" outlineLevel="0" collapsed="false">
      <c r="A18" s="5" t="s">
        <v>60</v>
      </c>
      <c r="B18" s="6" t="s">
        <v>71</v>
      </c>
      <c r="C18" s="6" t="s">
        <v>72</v>
      </c>
      <c r="D18" s="6" t="s">
        <v>11</v>
      </c>
      <c r="E18" s="6" t="s">
        <v>73</v>
      </c>
      <c r="F18" s="6" t="s">
        <v>74</v>
      </c>
    </row>
    <row r="19" customFormat="false" ht="39" hidden="false" customHeight="true" outlineLevel="0" collapsed="false">
      <c r="A19" s="5" t="s">
        <v>75</v>
      </c>
      <c r="B19" s="6" t="s">
        <v>76</v>
      </c>
      <c r="C19" s="6" t="s">
        <v>77</v>
      </c>
      <c r="D19" s="6" t="s">
        <v>78</v>
      </c>
      <c r="E19" s="6" t="s">
        <v>79</v>
      </c>
      <c r="F19" s="6" t="s">
        <v>80</v>
      </c>
    </row>
    <row r="20" customFormat="false" ht="26.25" hidden="false" customHeight="true" outlineLevel="0" collapsed="false">
      <c r="A20" s="5" t="s">
        <v>75</v>
      </c>
      <c r="B20" s="6" t="s">
        <v>81</v>
      </c>
      <c r="C20" s="6" t="s">
        <v>82</v>
      </c>
      <c r="D20" s="6" t="s">
        <v>26</v>
      </c>
      <c r="E20" s="6" t="s">
        <v>83</v>
      </c>
      <c r="F20" s="6" t="s">
        <v>80</v>
      </c>
    </row>
    <row r="21" customFormat="false" ht="39" hidden="false" customHeight="true" outlineLevel="0" collapsed="false">
      <c r="A21" s="5" t="s">
        <v>84</v>
      </c>
      <c r="B21" s="6" t="s">
        <v>85</v>
      </c>
      <c r="C21" s="6" t="s">
        <v>86</v>
      </c>
      <c r="D21" s="6" t="s">
        <v>87</v>
      </c>
      <c r="E21" s="6" t="s">
        <v>88</v>
      </c>
      <c r="F21" s="6" t="s">
        <v>89</v>
      </c>
    </row>
    <row r="22" customFormat="false" ht="39" hidden="false" customHeight="true" outlineLevel="0" collapsed="false">
      <c r="A22" s="5" t="s">
        <v>84</v>
      </c>
      <c r="B22" s="6" t="s">
        <v>90</v>
      </c>
      <c r="C22" s="6" t="s">
        <v>15</v>
      </c>
      <c r="D22" s="6" t="s">
        <v>91</v>
      </c>
      <c r="E22" s="6" t="s">
        <v>92</v>
      </c>
      <c r="F22" s="6" t="s">
        <v>18</v>
      </c>
    </row>
    <row r="23" customFormat="false" ht="26.25" hidden="false" customHeight="true" outlineLevel="0" collapsed="false">
      <c r="A23" s="5" t="s">
        <v>93</v>
      </c>
      <c r="B23" s="6" t="s">
        <v>94</v>
      </c>
      <c r="C23" s="6" t="s">
        <v>95</v>
      </c>
      <c r="D23" s="6" t="s">
        <v>87</v>
      </c>
      <c r="E23" s="6" t="s">
        <v>96</v>
      </c>
      <c r="F23" s="6" t="s">
        <v>97</v>
      </c>
    </row>
    <row r="24" customFormat="false" ht="51.75" hidden="false" customHeight="true" outlineLevel="0" collapsed="false">
      <c r="A24" s="5" t="s">
        <v>93</v>
      </c>
      <c r="B24" s="6" t="s">
        <v>98</v>
      </c>
      <c r="C24" s="6" t="s">
        <v>99</v>
      </c>
      <c r="D24" s="6" t="s">
        <v>11</v>
      </c>
      <c r="E24" s="6" t="s">
        <v>100</v>
      </c>
      <c r="F24" s="6" t="s">
        <v>97</v>
      </c>
    </row>
    <row r="25" customFormat="false" ht="39" hidden="false" customHeight="true" outlineLevel="0" collapsed="false">
      <c r="A25" s="5" t="s">
        <v>101</v>
      </c>
      <c r="B25" s="6" t="s">
        <v>102</v>
      </c>
      <c r="C25" s="6" t="s">
        <v>103</v>
      </c>
      <c r="D25" s="6" t="s">
        <v>47</v>
      </c>
      <c r="E25" s="6" t="s">
        <v>104</v>
      </c>
      <c r="F25" s="6" t="s">
        <v>105</v>
      </c>
    </row>
    <row r="26" customFormat="false" ht="39" hidden="false" customHeight="true" outlineLevel="0" collapsed="false">
      <c r="A26" s="5" t="s">
        <v>106</v>
      </c>
      <c r="B26" s="6" t="s">
        <v>107</v>
      </c>
      <c r="C26" s="6" t="s">
        <v>108</v>
      </c>
      <c r="D26" s="6" t="s">
        <v>91</v>
      </c>
      <c r="E26" s="6" t="s">
        <v>109</v>
      </c>
      <c r="F26" s="6" t="s">
        <v>18</v>
      </c>
    </row>
    <row r="27" customFormat="false" ht="39" hidden="false" customHeight="true" outlineLevel="0" collapsed="false">
      <c r="A27" s="7" t="s">
        <v>110</v>
      </c>
      <c r="B27" s="8" t="s">
        <v>111</v>
      </c>
      <c r="C27" s="9"/>
      <c r="D27" s="9"/>
      <c r="E27" s="9"/>
      <c r="F27" s="9"/>
    </row>
    <row r="28" customFormat="false" ht="15" hidden="false" customHeight="true" outlineLevel="0" collapsed="false">
      <c r="A28" s="10" t="s">
        <v>110</v>
      </c>
      <c r="B28" s="11" t="s">
        <v>112</v>
      </c>
      <c r="C28" s="11"/>
      <c r="D28" s="11"/>
      <c r="E28" s="11"/>
      <c r="F28" s="11"/>
    </row>
    <row r="29" customFormat="false" ht="51.75" hidden="false" customHeight="true" outlineLevel="0" collapsed="false">
      <c r="A29" s="10" t="s">
        <v>110</v>
      </c>
      <c r="B29" s="11" t="s">
        <v>113</v>
      </c>
      <c r="C29" s="11" t="s">
        <v>57</v>
      </c>
      <c r="D29" s="11" t="s">
        <v>11</v>
      </c>
      <c r="E29" s="11" t="s">
        <v>114</v>
      </c>
      <c r="F29" s="11" t="s">
        <v>115</v>
      </c>
    </row>
    <row r="30" customFormat="false" ht="51.75" hidden="false" customHeight="true" outlineLevel="0" collapsed="false">
      <c r="A30" s="10" t="s">
        <v>110</v>
      </c>
      <c r="B30" s="11" t="s">
        <v>116</v>
      </c>
      <c r="C30" s="11" t="s">
        <v>57</v>
      </c>
      <c r="D30" s="11" t="s">
        <v>11</v>
      </c>
      <c r="E30" s="11" t="s">
        <v>114</v>
      </c>
      <c r="F30" s="11" t="s">
        <v>115</v>
      </c>
    </row>
    <row r="31" customFormat="false" ht="51.75" hidden="false" customHeight="true" outlineLevel="0" collapsed="false">
      <c r="A31" s="10" t="s">
        <v>110</v>
      </c>
      <c r="B31" s="11" t="s">
        <v>117</v>
      </c>
      <c r="C31" s="11" t="s">
        <v>57</v>
      </c>
      <c r="D31" s="11" t="s">
        <v>11</v>
      </c>
      <c r="E31" s="11" t="s">
        <v>114</v>
      </c>
      <c r="F31" s="11" t="s">
        <v>115</v>
      </c>
    </row>
    <row r="32" customFormat="false" ht="51.75" hidden="false" customHeight="true" outlineLevel="0" collapsed="false">
      <c r="A32" s="10" t="s">
        <v>110</v>
      </c>
      <c r="B32" s="11" t="s">
        <v>118</v>
      </c>
      <c r="C32" s="11" t="s">
        <v>57</v>
      </c>
      <c r="D32" s="11" t="s">
        <v>11</v>
      </c>
      <c r="E32" s="11" t="s">
        <v>119</v>
      </c>
      <c r="F32" s="11" t="s">
        <v>115</v>
      </c>
    </row>
    <row r="33" customFormat="false" ht="51.75" hidden="false" customHeight="true" outlineLevel="0" collapsed="false">
      <c r="A33" s="10" t="s">
        <v>110</v>
      </c>
      <c r="B33" s="11" t="s">
        <v>120</v>
      </c>
      <c r="C33" s="11" t="s">
        <v>57</v>
      </c>
      <c r="D33" s="11" t="s">
        <v>11</v>
      </c>
      <c r="E33" s="11" t="s">
        <v>114</v>
      </c>
      <c r="F33" s="11" t="s">
        <v>115</v>
      </c>
    </row>
    <row r="34" customFormat="false" ht="51.75" hidden="false" customHeight="true" outlineLevel="0" collapsed="false">
      <c r="A34" s="10" t="s">
        <v>110</v>
      </c>
      <c r="B34" s="11" t="s">
        <v>121</v>
      </c>
      <c r="C34" s="11" t="s">
        <v>57</v>
      </c>
      <c r="D34" s="11" t="s">
        <v>11</v>
      </c>
      <c r="E34" s="11" t="s">
        <v>114</v>
      </c>
      <c r="F34" s="11" t="s">
        <v>115</v>
      </c>
    </row>
    <row r="35" customFormat="false" ht="51.75" hidden="false" customHeight="true" outlineLevel="0" collapsed="false">
      <c r="A35" s="10" t="s">
        <v>110</v>
      </c>
      <c r="B35" s="11" t="s">
        <v>122</v>
      </c>
      <c r="C35" s="11" t="s">
        <v>123</v>
      </c>
      <c r="D35" s="11" t="s">
        <v>11</v>
      </c>
      <c r="E35" s="11" t="s">
        <v>124</v>
      </c>
      <c r="F35" s="11" t="s">
        <v>125</v>
      </c>
    </row>
    <row r="36" customFormat="false" ht="51.75" hidden="false" customHeight="true" outlineLevel="0" collapsed="false">
      <c r="A36" s="10" t="s">
        <v>110</v>
      </c>
      <c r="B36" s="11" t="s">
        <v>126</v>
      </c>
      <c r="C36" s="11" t="s">
        <v>127</v>
      </c>
      <c r="D36" s="11" t="s">
        <v>128</v>
      </c>
      <c r="E36" s="11" t="s">
        <v>129</v>
      </c>
      <c r="F36" s="11" t="s">
        <v>130</v>
      </c>
    </row>
    <row r="37" customFormat="false" ht="26.25" hidden="false" customHeight="true" outlineLevel="0" collapsed="false"/>
    <row r="38" customFormat="false" ht="15" hidden="false" customHeight="true" outlineLevel="0" collapsed="false">
      <c r="A38" s="12" t="s">
        <v>131</v>
      </c>
    </row>
    <row r="39" customFormat="false" ht="15" hidden="false" customHeight="true" outlineLevel="0" collapsed="false">
      <c r="A39" s="13" t="s">
        <v>132</v>
      </c>
      <c r="B39" s="13"/>
      <c r="C39" s="13"/>
      <c r="D39" s="13"/>
      <c r="E39" s="13"/>
      <c r="F39" s="13"/>
    </row>
    <row r="40" customFormat="false" ht="15" hidden="false" customHeight="true" outlineLevel="0" collapsed="false">
      <c r="A40" s="14"/>
      <c r="B40" s="14"/>
      <c r="C40" s="14"/>
      <c r="D40" s="14"/>
      <c r="E40" s="14"/>
      <c r="F40" s="14"/>
    </row>
    <row r="41" customFormat="false" ht="15" hidden="false" customHeight="true" outlineLevel="0" collapsed="false">
      <c r="A41" s="14"/>
      <c r="B41" s="14"/>
      <c r="C41" s="14"/>
      <c r="D41" s="14"/>
      <c r="E41" s="14"/>
      <c r="F41" s="14"/>
    </row>
    <row r="42" customFormat="false" ht="15" hidden="false" customHeight="true" outlineLevel="0" collapsed="false">
      <c r="A42" s="14"/>
      <c r="B42" s="14"/>
      <c r="C42" s="14"/>
      <c r="D42" s="14"/>
      <c r="E42" s="14"/>
      <c r="F42" s="14"/>
    </row>
  </sheetData>
  <mergeCells count="5">
    <mergeCell ref="A1:F1"/>
    <mergeCell ref="A2:F2"/>
    <mergeCell ref="B28:F28"/>
    <mergeCell ref="A39:F39"/>
    <mergeCell ref="A40:F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6"/>
    <col collapsed="false" customWidth="true" hidden="false" outlineLevel="0" max="3" min="3" style="1" width="40"/>
    <col collapsed="false" customWidth="true" hidden="false" outlineLevel="0" max="4" min="4" style="1" width="30"/>
  </cols>
  <sheetData>
    <row r="1" customFormat="false" ht="17.25" hidden="false" customHeight="true" outlineLevel="0" collapsed="false">
      <c r="A1" s="15" t="s">
        <v>133</v>
      </c>
    </row>
    <row r="2" customFormat="false" ht="15" hidden="false" customHeight="true" outlineLevel="0" collapsed="false">
      <c r="A2" s="16" t="s">
        <v>134</v>
      </c>
    </row>
    <row r="4" customFormat="false" ht="15" hidden="false" customHeight="true" outlineLevel="0" collapsed="false">
      <c r="A4" s="17" t="s">
        <v>135</v>
      </c>
      <c r="B4" s="17"/>
      <c r="C4" s="17"/>
      <c r="D4" s="17"/>
    </row>
    <row r="5" customFormat="false" ht="69.75" hidden="false" customHeight="true" outlineLevel="0" collapsed="false">
      <c r="A5" s="18" t="s">
        <v>136</v>
      </c>
      <c r="B5" s="18"/>
      <c r="C5" s="18"/>
      <c r="D5" s="18"/>
    </row>
    <row r="7" customFormat="false" ht="15" hidden="false" customHeight="true" outlineLevel="0" collapsed="false">
      <c r="A7" s="17" t="s">
        <v>137</v>
      </c>
      <c r="B7" s="17"/>
      <c r="C7" s="17"/>
      <c r="D7" s="17"/>
    </row>
    <row r="8" customFormat="false" ht="42" hidden="false" customHeight="true" outlineLevel="0" collapsed="false">
      <c r="A8" s="18" t="s">
        <v>138</v>
      </c>
      <c r="B8" s="18"/>
      <c r="C8" s="18"/>
      <c r="D8" s="18"/>
    </row>
    <row r="9" customFormat="false" ht="42" hidden="false" customHeight="true" outlineLevel="0" collapsed="false">
      <c r="A9" s="18" t="s">
        <v>139</v>
      </c>
      <c r="B9" s="18"/>
      <c r="C9" s="18"/>
      <c r="D9" s="18"/>
    </row>
    <row r="10" customFormat="false" ht="27.75" hidden="false" customHeight="true" outlineLevel="0" collapsed="false">
      <c r="A10" s="18" t="s">
        <v>140</v>
      </c>
      <c r="B10" s="18"/>
      <c r="C10" s="18"/>
      <c r="D10" s="18"/>
    </row>
    <row r="11" customFormat="false" ht="27.75" hidden="false" customHeight="true" outlineLevel="0" collapsed="false">
      <c r="A11" s="18" t="s">
        <v>141</v>
      </c>
      <c r="B11" s="18"/>
      <c r="C11" s="18"/>
      <c r="D11" s="18"/>
    </row>
    <row r="12" customFormat="false" ht="42" hidden="false" customHeight="true" outlineLevel="0" collapsed="false">
      <c r="A12" s="18" t="s">
        <v>142</v>
      </c>
      <c r="B12" s="18"/>
      <c r="C12" s="18"/>
      <c r="D12" s="18"/>
    </row>
    <row r="13" customFormat="false" ht="42" hidden="false" customHeight="true" outlineLevel="0" collapsed="false">
      <c r="A13" s="18" t="s">
        <v>143</v>
      </c>
      <c r="B13" s="18"/>
      <c r="C13" s="18"/>
      <c r="D13" s="18"/>
    </row>
    <row r="14" customFormat="false" ht="27.75" hidden="false" customHeight="true" outlineLevel="0" collapsed="false">
      <c r="A14" s="18" t="s">
        <v>144</v>
      </c>
      <c r="B14" s="18"/>
      <c r="C14" s="18"/>
      <c r="D14" s="18"/>
    </row>
    <row r="15" customFormat="false" ht="27.75" hidden="false" customHeight="true" outlineLevel="0" collapsed="false">
      <c r="A15" s="18" t="s">
        <v>145</v>
      </c>
      <c r="B15" s="18"/>
      <c r="C15" s="18"/>
      <c r="D15" s="18"/>
    </row>
    <row r="17" customFormat="false" ht="15" hidden="false" customHeight="true" outlineLevel="0" collapsed="false">
      <c r="A17" s="17" t="s">
        <v>146</v>
      </c>
      <c r="B17" s="17"/>
      <c r="C17" s="17"/>
      <c r="D17" s="17"/>
    </row>
    <row r="18" customFormat="false" ht="27.75" hidden="false" customHeight="true" outlineLevel="0" collapsed="false">
      <c r="A18" s="19" t="s">
        <v>147</v>
      </c>
      <c r="B18" s="19"/>
      <c r="C18" s="19"/>
      <c r="D18" s="19"/>
    </row>
    <row r="19" customFormat="false" ht="15" hidden="false" customHeight="true" outlineLevel="0" collapsed="false">
      <c r="A19" s="4" t="s">
        <v>148</v>
      </c>
      <c r="B19" s="4" t="s">
        <v>149</v>
      </c>
      <c r="C19" s="4" t="s">
        <v>150</v>
      </c>
    </row>
    <row r="20" customFormat="false" ht="26.25" hidden="false" customHeight="true" outlineLevel="0" collapsed="false">
      <c r="A20" s="6" t="s">
        <v>151</v>
      </c>
      <c r="B20" s="6" t="s">
        <v>152</v>
      </c>
      <c r="C20" s="6" t="s">
        <v>153</v>
      </c>
    </row>
    <row r="21" customFormat="false" ht="15" hidden="false" customHeight="true" outlineLevel="0" collapsed="false">
      <c r="A21" s="6" t="s">
        <v>154</v>
      </c>
      <c r="B21" s="6" t="s">
        <v>115</v>
      </c>
      <c r="C21" s="6" t="s">
        <v>155</v>
      </c>
    </row>
    <row r="22" customFormat="false" ht="26.25" hidden="false" customHeight="true" outlineLevel="0" collapsed="false">
      <c r="A22" s="20" t="s">
        <v>156</v>
      </c>
      <c r="B22" s="20" t="s">
        <v>157</v>
      </c>
      <c r="C22" s="20" t="s">
        <v>158</v>
      </c>
    </row>
    <row r="23" customFormat="false" ht="15" hidden="false" customHeight="true" outlineLevel="0" collapsed="false">
      <c r="A23" s="6" t="s">
        <v>159</v>
      </c>
      <c r="B23" s="6" t="s">
        <v>160</v>
      </c>
      <c r="C23" s="6" t="s">
        <v>161</v>
      </c>
    </row>
    <row r="24" customFormat="false" ht="15" hidden="false" customHeight="true" outlineLevel="0" collapsed="false">
      <c r="A24" s="6" t="s">
        <v>162</v>
      </c>
      <c r="B24" s="6" t="s">
        <v>163</v>
      </c>
      <c r="C24" s="6" t="s">
        <v>164</v>
      </c>
    </row>
    <row r="25" customFormat="false" ht="26.25" hidden="false" customHeight="true" outlineLevel="0" collapsed="false">
      <c r="A25" s="6" t="s">
        <v>165</v>
      </c>
      <c r="B25" s="6" t="s">
        <v>166</v>
      </c>
      <c r="C25" s="6" t="s">
        <v>167</v>
      </c>
    </row>
    <row r="26" customFormat="false" ht="26.25" hidden="false" customHeight="true" outlineLevel="0" collapsed="false">
      <c r="A26" s="6" t="s">
        <v>168</v>
      </c>
      <c r="B26" s="6" t="s">
        <v>169</v>
      </c>
      <c r="C26" s="6" t="s">
        <v>170</v>
      </c>
    </row>
    <row r="27" customFormat="false" ht="15" hidden="false" customHeight="true" outlineLevel="0" collapsed="false">
      <c r="A27" s="6" t="s">
        <v>171</v>
      </c>
      <c r="B27" s="6" t="s">
        <v>172</v>
      </c>
      <c r="C27" s="6" t="s">
        <v>173</v>
      </c>
    </row>
    <row r="28" customFormat="false" ht="15" hidden="false" customHeight="true" outlineLevel="0" collapsed="false">
      <c r="A28" s="6" t="s">
        <v>174</v>
      </c>
      <c r="B28" s="6" t="s">
        <v>175</v>
      </c>
      <c r="C28" s="6" t="s">
        <v>176</v>
      </c>
    </row>
    <row r="29" customFormat="false" ht="15" hidden="false" customHeight="true" outlineLevel="0" collapsed="false">
      <c r="A29" s="6" t="s">
        <v>177</v>
      </c>
      <c r="B29" s="6" t="s">
        <v>178</v>
      </c>
      <c r="C29" s="6" t="s">
        <v>179</v>
      </c>
    </row>
    <row r="30" customFormat="false" ht="26.25" hidden="false" customHeight="true" outlineLevel="0" collapsed="false">
      <c r="A30" s="6" t="s">
        <v>180</v>
      </c>
      <c r="B30" s="6" t="s">
        <v>181</v>
      </c>
      <c r="C30" s="6" t="s">
        <v>182</v>
      </c>
    </row>
    <row r="31" customFormat="false" ht="15" hidden="false" customHeight="true" outlineLevel="0" collapsed="false">
      <c r="A31" s="6" t="s">
        <v>183</v>
      </c>
      <c r="B31" s="6"/>
      <c r="C31" s="6"/>
      <c r="D31" s="6"/>
    </row>
    <row r="32" customFormat="false" ht="27.75" hidden="false" customHeight="true" outlineLevel="0" collapsed="false">
      <c r="A32" s="14"/>
      <c r="B32" s="14"/>
      <c r="C32" s="14"/>
      <c r="D32" s="14"/>
    </row>
    <row r="33" customFormat="false" ht="15" hidden="false" customHeight="true" outlineLevel="0" collapsed="false">
      <c r="A33" s="21" t="s">
        <v>184</v>
      </c>
    </row>
    <row r="34" customFormat="false" ht="39" hidden="false" customHeight="true" outlineLevel="0" collapsed="false">
      <c r="A34" s="22" t="s">
        <v>185</v>
      </c>
    </row>
    <row r="35" customFormat="false" ht="39" hidden="false" customHeight="true" outlineLevel="0" collapsed="false">
      <c r="A35" s="4" t="s">
        <v>186</v>
      </c>
      <c r="B35" s="4" t="s">
        <v>187</v>
      </c>
    </row>
    <row r="36" customFormat="false" ht="39" hidden="false" customHeight="true" outlineLevel="0" collapsed="false">
      <c r="A36" s="6" t="s">
        <v>188</v>
      </c>
      <c r="B36" s="6" t="s">
        <v>189</v>
      </c>
    </row>
    <row r="37" customFormat="false" ht="26.25" hidden="false" customHeight="true" outlineLevel="0" collapsed="false">
      <c r="A37" s="6" t="s">
        <v>190</v>
      </c>
      <c r="B37" s="6" t="s">
        <v>191</v>
      </c>
    </row>
    <row r="38" customFormat="false" ht="26.25" hidden="false" customHeight="true" outlineLevel="0" collapsed="false">
      <c r="A38" s="6" t="s">
        <v>192</v>
      </c>
      <c r="B38" s="6" t="s">
        <v>193</v>
      </c>
    </row>
    <row r="39" customFormat="false" ht="26.25" hidden="false" customHeight="true" outlineLevel="0" collapsed="false">
      <c r="A39" s="6" t="s">
        <v>194</v>
      </c>
      <c r="B39" s="6" t="s">
        <v>195</v>
      </c>
    </row>
    <row r="40" customFormat="false" ht="26.25" hidden="false" customHeight="true" outlineLevel="0" collapsed="false">
      <c r="A40" s="6" t="s">
        <v>196</v>
      </c>
      <c r="B40" s="6" t="s">
        <v>197</v>
      </c>
    </row>
    <row r="41" customFormat="false" ht="15" hidden="false" customHeight="true" outlineLevel="0" collapsed="false">
      <c r="A41" s="6" t="s">
        <v>198</v>
      </c>
      <c r="B41" s="6"/>
      <c r="C41" s="6"/>
      <c r="D41" s="6"/>
    </row>
    <row r="42" customFormat="false" ht="27.75" hidden="false" customHeight="true" outlineLevel="0" collapsed="false">
      <c r="A42" s="14"/>
      <c r="B42" s="14"/>
      <c r="C42" s="14"/>
      <c r="D42" s="14"/>
    </row>
    <row r="43" customFormat="false" ht="27.75" hidden="false" customHeight="true" outlineLevel="0" collapsed="false">
      <c r="A43" s="17" t="s">
        <v>199</v>
      </c>
      <c r="B43" s="17"/>
      <c r="C43" s="17"/>
      <c r="D43" s="17"/>
    </row>
    <row r="44" customFormat="false" ht="27.75" hidden="false" customHeight="true" outlineLevel="0" collapsed="false">
      <c r="A44" s="18" t="s">
        <v>200</v>
      </c>
      <c r="B44" s="18"/>
      <c r="C44" s="18"/>
      <c r="D44" s="18"/>
    </row>
    <row r="45" customFormat="false" ht="42" hidden="false" customHeight="true" outlineLevel="0" collapsed="false">
      <c r="A45" s="18" t="s">
        <v>201</v>
      </c>
      <c r="B45" s="18"/>
      <c r="C45" s="18"/>
      <c r="D45" s="18"/>
    </row>
    <row r="46" customFormat="false" ht="27.75" hidden="false" customHeight="true" outlineLevel="0" collapsed="false">
      <c r="A46" s="18" t="s">
        <v>202</v>
      </c>
      <c r="B46" s="18"/>
      <c r="C46" s="18"/>
      <c r="D46" s="18"/>
    </row>
    <row r="47" customFormat="false" ht="27.75" hidden="false" customHeight="true" outlineLevel="0" collapsed="false">
      <c r="A47" s="18" t="s">
        <v>203</v>
      </c>
      <c r="B47" s="18"/>
      <c r="C47" s="18"/>
      <c r="D47" s="18"/>
    </row>
    <row r="48" customFormat="false" ht="27.75" hidden="false" customHeight="true" outlineLevel="0" collapsed="false">
      <c r="A48" s="18" t="s">
        <v>204</v>
      </c>
      <c r="B48" s="18"/>
      <c r="C48" s="18"/>
      <c r="D48" s="18"/>
    </row>
    <row r="49" customFormat="false" ht="39" hidden="false" customHeight="true" outlineLevel="0" collapsed="false">
      <c r="A49" s="23" t="s">
        <v>205</v>
      </c>
    </row>
    <row r="50" customFormat="false" ht="15" hidden="false" customHeight="true" outlineLevel="0" collapsed="false">
      <c r="A50" s="18" t="s">
        <v>206</v>
      </c>
      <c r="B50" s="18"/>
      <c r="C50" s="18"/>
      <c r="D50" s="18"/>
    </row>
    <row r="51" customFormat="false" ht="69.75" hidden="false" customHeight="true" outlineLevel="0" collapsed="false">
      <c r="A51" s="14"/>
      <c r="B51" s="14"/>
      <c r="C51" s="14"/>
      <c r="D51" s="14"/>
    </row>
    <row r="52" customFormat="false" ht="141" hidden="false" customHeight="true" outlineLevel="0" collapsed="false">
      <c r="A52" s="21" t="s">
        <v>207</v>
      </c>
    </row>
    <row r="53" customFormat="false" ht="15" hidden="false" customHeight="true" outlineLevel="0" collapsed="false">
      <c r="A53" s="18" t="s">
        <v>208</v>
      </c>
      <c r="B53" s="18"/>
      <c r="C53" s="18"/>
      <c r="D53" s="18"/>
    </row>
    <row r="54" customFormat="false" ht="55.5" hidden="false" customHeight="true" outlineLevel="0" collapsed="false">
      <c r="A54" s="14"/>
      <c r="B54" s="14"/>
      <c r="C54" s="14"/>
      <c r="D54" s="14"/>
    </row>
    <row r="55" customFormat="false" ht="102.75" hidden="false" customHeight="true" outlineLevel="0" collapsed="false">
      <c r="A55" s="21" t="s">
        <v>209</v>
      </c>
    </row>
    <row r="56" customFormat="false" ht="102.75" hidden="false" customHeight="true" outlineLevel="0" collapsed="false">
      <c r="A56" s="22" t="s">
        <v>210</v>
      </c>
    </row>
  </sheetData>
  <mergeCells count="27">
    <mergeCell ref="A4:D4"/>
    <mergeCell ref="A5:D5"/>
    <mergeCell ref="A7:D7"/>
    <mergeCell ref="A8:D8"/>
    <mergeCell ref="A9:D9"/>
    <mergeCell ref="A10:D10"/>
    <mergeCell ref="A11:D11"/>
    <mergeCell ref="A12:D12"/>
    <mergeCell ref="A13:D13"/>
    <mergeCell ref="A14:D14"/>
    <mergeCell ref="A15:D15"/>
    <mergeCell ref="A17:D17"/>
    <mergeCell ref="A18:D18"/>
    <mergeCell ref="A31:D31"/>
    <mergeCell ref="A32:D32"/>
    <mergeCell ref="A41:D41"/>
    <mergeCell ref="A42:D42"/>
    <mergeCell ref="A43:D43"/>
    <mergeCell ref="A44:D44"/>
    <mergeCell ref="A45:D45"/>
    <mergeCell ref="A46:D46"/>
    <mergeCell ref="A47:D47"/>
    <mergeCell ref="A48:D48"/>
    <mergeCell ref="A50:D50"/>
    <mergeCell ref="A51:D51"/>
    <mergeCell ref="A53:D53"/>
    <mergeCell ref="A54:D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
    <col collapsed="false" customWidth="true" hidden="false" outlineLevel="0" max="3" min="3" style="1" width="16"/>
    <col collapsed="false" customWidth="true" hidden="false" outlineLevel="0" max="4" min="4" style="1" width="46"/>
    <col collapsed="false" customWidth="true" hidden="false" outlineLevel="0" max="5" min="5" style="1" width="20"/>
    <col collapsed="false" customWidth="true" hidden="false" outlineLevel="0" max="6" min="6" style="1" width="28"/>
    <col collapsed="false" customWidth="true" hidden="false" outlineLevel="0" max="7" min="7" style="1" width="44"/>
    <col collapsed="false" customWidth="true" hidden="false" outlineLevel="0" max="8" min="8" style="1" width="10"/>
  </cols>
  <sheetData>
    <row r="1" customFormat="false" ht="19.5" hidden="false" customHeight="true" outlineLevel="0" collapsed="false">
      <c r="A1" s="2" t="s">
        <v>211</v>
      </c>
      <c r="B1" s="2"/>
      <c r="C1" s="2"/>
      <c r="D1" s="2"/>
      <c r="E1" s="2"/>
      <c r="F1" s="2"/>
      <c r="G1" s="2"/>
      <c r="H1" s="2"/>
    </row>
    <row r="2" customFormat="false" ht="45.75" hidden="false" customHeight="true" outlineLevel="0" collapsed="false">
      <c r="A2" s="3" t="s">
        <v>212</v>
      </c>
      <c r="B2" s="3"/>
      <c r="C2" s="3"/>
      <c r="D2" s="3"/>
      <c r="E2" s="3"/>
      <c r="F2" s="3"/>
      <c r="G2" s="3"/>
      <c r="H2" s="3"/>
    </row>
    <row r="4" customFormat="false" ht="15" hidden="false" customHeight="true" outlineLevel="0" collapsed="false">
      <c r="A4" s="4" t="s">
        <v>213</v>
      </c>
      <c r="B4" s="4" t="s">
        <v>214</v>
      </c>
      <c r="C4" s="4" t="s">
        <v>215</v>
      </c>
      <c r="D4" s="4" t="s">
        <v>216</v>
      </c>
      <c r="E4" s="4" t="s">
        <v>217</v>
      </c>
      <c r="F4" s="4" t="s">
        <v>218</v>
      </c>
      <c r="G4" s="4" t="s">
        <v>219</v>
      </c>
      <c r="H4" s="4" t="s">
        <v>220</v>
      </c>
    </row>
    <row r="5" customFormat="false" ht="51.75" hidden="false" customHeight="true" outlineLevel="0" collapsed="false">
      <c r="A5" s="24" t="n">
        <v>1</v>
      </c>
      <c r="B5" s="25" t="s">
        <v>221</v>
      </c>
      <c r="C5" s="6" t="s">
        <v>222</v>
      </c>
      <c r="D5" s="6" t="s">
        <v>223</v>
      </c>
      <c r="E5" s="6" t="s">
        <v>11</v>
      </c>
      <c r="F5" s="6" t="s">
        <v>130</v>
      </c>
      <c r="G5" s="6" t="s">
        <v>224</v>
      </c>
      <c r="H5" s="24"/>
    </row>
    <row r="6" customFormat="false" ht="51.75" hidden="false" customHeight="true" outlineLevel="0" collapsed="false">
      <c r="A6" s="24" t="n">
        <v>2</v>
      </c>
      <c r="B6" s="25" t="s">
        <v>221</v>
      </c>
      <c r="C6" s="6" t="s">
        <v>222</v>
      </c>
      <c r="D6" s="6" t="s">
        <v>225</v>
      </c>
      <c r="E6" s="6" t="s">
        <v>226</v>
      </c>
      <c r="F6" s="6" t="s">
        <v>80</v>
      </c>
      <c r="G6" s="6" t="s">
        <v>227</v>
      </c>
      <c r="H6" s="24"/>
    </row>
    <row r="7" customFormat="false" ht="26.25" hidden="false" customHeight="true" outlineLevel="0" collapsed="false">
      <c r="A7" s="24" t="n">
        <v>3</v>
      </c>
      <c r="B7" s="25" t="s">
        <v>221</v>
      </c>
      <c r="C7" s="6" t="s">
        <v>222</v>
      </c>
      <c r="D7" s="6" t="s">
        <v>228</v>
      </c>
      <c r="E7" s="6" t="s">
        <v>229</v>
      </c>
      <c r="F7" s="6" t="s">
        <v>230</v>
      </c>
      <c r="G7" s="6" t="s">
        <v>231</v>
      </c>
      <c r="H7" s="24"/>
    </row>
    <row r="8" customFormat="false" ht="51.75" hidden="false" customHeight="true" outlineLevel="0" collapsed="false">
      <c r="A8" s="24" t="n">
        <v>4</v>
      </c>
      <c r="B8" s="25" t="s">
        <v>221</v>
      </c>
      <c r="C8" s="6" t="s">
        <v>232</v>
      </c>
      <c r="D8" s="6" t="s">
        <v>233</v>
      </c>
      <c r="E8" s="6" t="s">
        <v>11</v>
      </c>
      <c r="F8" s="6" t="s">
        <v>18</v>
      </c>
      <c r="G8" s="6" t="s">
        <v>234</v>
      </c>
      <c r="H8" s="24"/>
    </row>
    <row r="9" customFormat="false" ht="51.75" hidden="false" customHeight="true" outlineLevel="0" collapsed="false">
      <c r="A9" s="24" t="n">
        <v>5</v>
      </c>
      <c r="B9" s="25" t="s">
        <v>221</v>
      </c>
      <c r="C9" s="6" t="s">
        <v>235</v>
      </c>
      <c r="D9" s="6" t="s">
        <v>236</v>
      </c>
      <c r="E9" s="6" t="s">
        <v>237</v>
      </c>
      <c r="F9" s="6" t="s">
        <v>238</v>
      </c>
      <c r="G9" s="6" t="s">
        <v>239</v>
      </c>
      <c r="H9" s="24"/>
    </row>
    <row r="10" customFormat="false" ht="64.5" hidden="false" customHeight="true" outlineLevel="0" collapsed="false">
      <c r="A10" s="24" t="n">
        <v>6</v>
      </c>
      <c r="B10" s="25" t="s">
        <v>221</v>
      </c>
      <c r="C10" s="6" t="s">
        <v>240</v>
      </c>
      <c r="D10" s="6" t="s">
        <v>241</v>
      </c>
      <c r="E10" s="6" t="s">
        <v>242</v>
      </c>
      <c r="F10" s="6" t="s">
        <v>157</v>
      </c>
      <c r="G10" s="6" t="s">
        <v>243</v>
      </c>
      <c r="H10" s="24"/>
    </row>
    <row r="11" customFormat="false" ht="39" hidden="false" customHeight="true" outlineLevel="0" collapsed="false">
      <c r="A11" s="24" t="n">
        <v>7</v>
      </c>
      <c r="B11" s="25" t="s">
        <v>221</v>
      </c>
      <c r="C11" s="6" t="s">
        <v>240</v>
      </c>
      <c r="D11" s="6" t="s">
        <v>244</v>
      </c>
      <c r="E11" s="6" t="s">
        <v>245</v>
      </c>
      <c r="F11" s="6" t="s">
        <v>23</v>
      </c>
      <c r="G11" s="6" t="s">
        <v>246</v>
      </c>
      <c r="H11" s="24"/>
    </row>
    <row r="12" customFormat="false" ht="51.75" hidden="false" customHeight="true" outlineLevel="0" collapsed="false">
      <c r="A12" s="24" t="n">
        <v>8</v>
      </c>
      <c r="B12" s="25" t="s">
        <v>221</v>
      </c>
      <c r="C12" s="6" t="s">
        <v>247</v>
      </c>
      <c r="D12" s="6" t="s">
        <v>248</v>
      </c>
      <c r="E12" s="6" t="s">
        <v>249</v>
      </c>
      <c r="F12" s="6" t="s">
        <v>250</v>
      </c>
      <c r="G12" s="6" t="s">
        <v>251</v>
      </c>
      <c r="H12" s="24"/>
    </row>
    <row r="13" customFormat="false" ht="51.75" hidden="false" customHeight="true" outlineLevel="0" collapsed="false">
      <c r="A13" s="24" t="n">
        <v>9</v>
      </c>
      <c r="B13" s="25" t="s">
        <v>221</v>
      </c>
      <c r="C13" s="6" t="s">
        <v>247</v>
      </c>
      <c r="D13" s="6" t="s">
        <v>252</v>
      </c>
      <c r="E13" s="6" t="s">
        <v>253</v>
      </c>
      <c r="F13" s="6" t="s">
        <v>254</v>
      </c>
      <c r="G13" s="6" t="s">
        <v>255</v>
      </c>
      <c r="H13" s="24"/>
    </row>
    <row r="14" customFormat="false" ht="39" hidden="false" customHeight="true" outlineLevel="0" collapsed="false">
      <c r="A14" s="24" t="n">
        <v>10</v>
      </c>
      <c r="B14" s="25" t="s">
        <v>221</v>
      </c>
      <c r="C14" s="6" t="s">
        <v>256</v>
      </c>
      <c r="D14" s="6" t="s">
        <v>257</v>
      </c>
      <c r="E14" s="6" t="s">
        <v>253</v>
      </c>
      <c r="F14" s="6" t="s">
        <v>133</v>
      </c>
      <c r="G14" s="6" t="s">
        <v>258</v>
      </c>
      <c r="H14" s="24"/>
    </row>
    <row r="15" customFormat="false" ht="51.75" hidden="false" customHeight="true" outlineLevel="0" collapsed="false">
      <c r="A15" s="24" t="n">
        <v>11</v>
      </c>
      <c r="B15" s="25" t="s">
        <v>221</v>
      </c>
      <c r="C15" s="6" t="s">
        <v>259</v>
      </c>
      <c r="D15" s="6" t="s">
        <v>260</v>
      </c>
      <c r="E15" s="6" t="s">
        <v>261</v>
      </c>
      <c r="F15" s="6" t="s">
        <v>262</v>
      </c>
      <c r="G15" s="6" t="s">
        <v>263</v>
      </c>
      <c r="H15" s="24"/>
    </row>
    <row r="16" customFormat="false" ht="26.25" hidden="false" customHeight="true" outlineLevel="0" collapsed="false">
      <c r="A16" s="24" t="n">
        <v>12</v>
      </c>
      <c r="B16" s="26" t="s">
        <v>264</v>
      </c>
      <c r="C16" s="6" t="s">
        <v>265</v>
      </c>
      <c r="D16" s="6" t="s">
        <v>266</v>
      </c>
      <c r="E16" s="6" t="s">
        <v>267</v>
      </c>
      <c r="F16" s="6" t="s">
        <v>268</v>
      </c>
      <c r="G16" s="6" t="s">
        <v>269</v>
      </c>
      <c r="H16" s="24"/>
    </row>
    <row r="17" customFormat="false" ht="26.25" hidden="false" customHeight="true" outlineLevel="0" collapsed="false">
      <c r="A17" s="24" t="n">
        <v>13</v>
      </c>
      <c r="B17" s="26" t="s">
        <v>264</v>
      </c>
      <c r="C17" s="6" t="s">
        <v>265</v>
      </c>
      <c r="D17" s="6" t="s">
        <v>270</v>
      </c>
      <c r="E17" s="6" t="s">
        <v>271</v>
      </c>
      <c r="F17" s="6" t="s">
        <v>272</v>
      </c>
      <c r="G17" s="6" t="s">
        <v>273</v>
      </c>
      <c r="H17" s="24"/>
    </row>
    <row r="18" customFormat="false" ht="39" hidden="false" customHeight="true" outlineLevel="0" collapsed="false">
      <c r="A18" s="24" t="n">
        <v>14</v>
      </c>
      <c r="B18" s="26" t="s">
        <v>264</v>
      </c>
      <c r="C18" s="6" t="s">
        <v>265</v>
      </c>
      <c r="D18" s="6" t="s">
        <v>274</v>
      </c>
      <c r="E18" s="6" t="s">
        <v>275</v>
      </c>
      <c r="F18" s="6" t="s">
        <v>276</v>
      </c>
      <c r="G18" s="6" t="s">
        <v>277</v>
      </c>
      <c r="H18" s="24"/>
    </row>
    <row r="19" customFormat="false" ht="39" hidden="false" customHeight="true" outlineLevel="0" collapsed="false">
      <c r="A19" s="24" t="n">
        <v>15</v>
      </c>
      <c r="B19" s="26" t="s">
        <v>264</v>
      </c>
      <c r="C19" s="6" t="s">
        <v>265</v>
      </c>
      <c r="D19" s="6" t="s">
        <v>278</v>
      </c>
      <c r="E19" s="6" t="s">
        <v>279</v>
      </c>
      <c r="F19" s="6" t="s">
        <v>280</v>
      </c>
      <c r="G19" s="6" t="s">
        <v>281</v>
      </c>
      <c r="H19" s="24"/>
    </row>
    <row r="20" customFormat="false" ht="39" hidden="false" customHeight="true" outlineLevel="0" collapsed="false">
      <c r="A20" s="24" t="n">
        <v>16</v>
      </c>
      <c r="B20" s="26" t="s">
        <v>264</v>
      </c>
      <c r="C20" s="6" t="s">
        <v>265</v>
      </c>
      <c r="D20" s="6" t="s">
        <v>282</v>
      </c>
      <c r="E20" s="6" t="s">
        <v>253</v>
      </c>
      <c r="F20" s="6" t="s">
        <v>283</v>
      </c>
      <c r="G20" s="6" t="s">
        <v>284</v>
      </c>
      <c r="H20" s="24"/>
    </row>
    <row r="21" customFormat="false" ht="51.75" hidden="false" customHeight="true" outlineLevel="0" collapsed="false">
      <c r="A21" s="24" t="n">
        <v>17</v>
      </c>
      <c r="B21" s="26" t="s">
        <v>264</v>
      </c>
      <c r="C21" s="6" t="s">
        <v>285</v>
      </c>
      <c r="D21" s="6" t="s">
        <v>286</v>
      </c>
      <c r="E21" s="6" t="s">
        <v>271</v>
      </c>
      <c r="F21" s="6" t="s">
        <v>175</v>
      </c>
      <c r="G21" s="6" t="s">
        <v>287</v>
      </c>
      <c r="H21" s="24"/>
    </row>
    <row r="22" customFormat="false" ht="51.75" hidden="false" customHeight="true" outlineLevel="0" collapsed="false">
      <c r="A22" s="24" t="n">
        <v>18</v>
      </c>
      <c r="B22" s="26" t="s">
        <v>264</v>
      </c>
      <c r="C22" s="6" t="s">
        <v>288</v>
      </c>
      <c r="D22" s="6" t="s">
        <v>289</v>
      </c>
      <c r="E22" s="6" t="s">
        <v>290</v>
      </c>
      <c r="F22" s="6" t="s">
        <v>291</v>
      </c>
      <c r="G22" s="6" t="s">
        <v>292</v>
      </c>
      <c r="H22" s="24"/>
    </row>
    <row r="23" customFormat="false" ht="39" hidden="false" customHeight="true" outlineLevel="0" collapsed="false">
      <c r="A23" s="24" t="n">
        <v>19</v>
      </c>
      <c r="B23" s="26" t="s">
        <v>264</v>
      </c>
      <c r="C23" s="6" t="s">
        <v>288</v>
      </c>
      <c r="D23" s="6" t="s">
        <v>293</v>
      </c>
      <c r="E23" s="6" t="s">
        <v>294</v>
      </c>
      <c r="F23" s="6" t="s">
        <v>166</v>
      </c>
      <c r="G23" s="6" t="s">
        <v>295</v>
      </c>
      <c r="H23" s="24"/>
    </row>
    <row r="24" customFormat="false" ht="51.75" hidden="false" customHeight="true" outlineLevel="0" collapsed="false">
      <c r="A24" s="24" t="n">
        <v>20</v>
      </c>
      <c r="B24" s="26" t="s">
        <v>264</v>
      </c>
      <c r="C24" s="6" t="s">
        <v>288</v>
      </c>
      <c r="D24" s="6" t="s">
        <v>296</v>
      </c>
      <c r="E24" s="6" t="s">
        <v>297</v>
      </c>
      <c r="F24" s="6" t="s">
        <v>298</v>
      </c>
      <c r="G24" s="6" t="s">
        <v>299</v>
      </c>
      <c r="H24" s="24"/>
    </row>
    <row r="25" customFormat="false" ht="39" hidden="false" customHeight="true" outlineLevel="0" collapsed="false">
      <c r="A25" s="24" t="n">
        <v>21</v>
      </c>
      <c r="B25" s="26" t="s">
        <v>264</v>
      </c>
      <c r="C25" s="6" t="s">
        <v>288</v>
      </c>
      <c r="D25" s="6" t="s">
        <v>300</v>
      </c>
      <c r="E25" s="6" t="s">
        <v>275</v>
      </c>
      <c r="F25" s="6" t="s">
        <v>301</v>
      </c>
      <c r="G25" s="6" t="s">
        <v>302</v>
      </c>
      <c r="H25" s="24"/>
    </row>
    <row r="26" customFormat="false" ht="39" hidden="false" customHeight="true" outlineLevel="0" collapsed="false">
      <c r="A26" s="24" t="n">
        <v>22</v>
      </c>
      <c r="B26" s="26" t="s">
        <v>264</v>
      </c>
      <c r="C26" s="6" t="s">
        <v>288</v>
      </c>
      <c r="D26" s="6" t="s">
        <v>303</v>
      </c>
      <c r="E26" s="6" t="s">
        <v>304</v>
      </c>
      <c r="F26" s="6" t="s">
        <v>305</v>
      </c>
      <c r="G26" s="6" t="s">
        <v>306</v>
      </c>
      <c r="H26" s="24"/>
    </row>
    <row r="27" customFormat="false" ht="39" hidden="false" customHeight="true" outlineLevel="0" collapsed="false">
      <c r="A27" s="24" t="n">
        <v>23</v>
      </c>
      <c r="B27" s="26" t="s">
        <v>264</v>
      </c>
      <c r="C27" s="6" t="s">
        <v>307</v>
      </c>
      <c r="D27" s="6" t="s">
        <v>308</v>
      </c>
      <c r="E27" s="6" t="s">
        <v>309</v>
      </c>
      <c r="F27" s="6" t="s">
        <v>310</v>
      </c>
      <c r="G27" s="6" t="s">
        <v>311</v>
      </c>
      <c r="H27" s="24"/>
    </row>
    <row r="28" customFormat="false" ht="26.25" hidden="false" customHeight="true" outlineLevel="0" collapsed="false">
      <c r="A28" s="24" t="n">
        <v>24</v>
      </c>
      <c r="B28" s="27" t="s">
        <v>312</v>
      </c>
      <c r="C28" s="6" t="s">
        <v>313</v>
      </c>
      <c r="D28" s="6" t="s">
        <v>314</v>
      </c>
      <c r="E28" s="6" t="s">
        <v>229</v>
      </c>
      <c r="F28" s="6" t="s">
        <v>80</v>
      </c>
      <c r="G28" s="6" t="s">
        <v>315</v>
      </c>
      <c r="H28" s="24"/>
    </row>
    <row r="29" customFormat="false" ht="51.75" hidden="false" customHeight="true" outlineLevel="0" collapsed="false">
      <c r="A29" s="24" t="n">
        <v>25</v>
      </c>
      <c r="B29" s="27" t="s">
        <v>312</v>
      </c>
      <c r="C29" s="6" t="s">
        <v>222</v>
      </c>
      <c r="D29" s="6" t="s">
        <v>316</v>
      </c>
      <c r="E29" s="6" t="s">
        <v>229</v>
      </c>
      <c r="F29" s="6" t="s">
        <v>317</v>
      </c>
      <c r="G29" s="6" t="s">
        <v>318</v>
      </c>
      <c r="H29" s="24"/>
    </row>
    <row r="30" customFormat="false" ht="39" hidden="false" customHeight="true" outlineLevel="0" collapsed="false">
      <c r="A30" s="24" t="n">
        <v>26</v>
      </c>
      <c r="B30" s="27" t="s">
        <v>312</v>
      </c>
      <c r="C30" s="6" t="s">
        <v>256</v>
      </c>
      <c r="D30" s="6" t="s">
        <v>319</v>
      </c>
      <c r="E30" s="6" t="s">
        <v>320</v>
      </c>
      <c r="F30" s="6" t="s">
        <v>133</v>
      </c>
      <c r="G30" s="6" t="s">
        <v>321</v>
      </c>
      <c r="H30" s="24"/>
    </row>
    <row r="31" customFormat="false" ht="26.25" hidden="false" customHeight="true" outlineLevel="0" collapsed="false">
      <c r="A31" s="24" t="n">
        <v>27</v>
      </c>
      <c r="B31" s="27" t="s">
        <v>312</v>
      </c>
      <c r="C31" s="6" t="s">
        <v>322</v>
      </c>
      <c r="D31" s="6" t="s">
        <v>323</v>
      </c>
      <c r="E31" s="6" t="s">
        <v>324</v>
      </c>
      <c r="F31" s="6" t="s">
        <v>325</v>
      </c>
      <c r="G31" s="6" t="s">
        <v>326</v>
      </c>
      <c r="H31" s="24"/>
    </row>
    <row r="32" customFormat="false" ht="51.75" hidden="false" customHeight="true" outlineLevel="0" collapsed="false">
      <c r="A32" s="24" t="n">
        <v>28</v>
      </c>
      <c r="B32" s="27" t="s">
        <v>312</v>
      </c>
      <c r="C32" s="6" t="s">
        <v>327</v>
      </c>
      <c r="D32" s="6" t="s">
        <v>328</v>
      </c>
      <c r="E32" s="6" t="s">
        <v>329</v>
      </c>
      <c r="F32" s="6" t="s">
        <v>330</v>
      </c>
      <c r="G32" s="6" t="s">
        <v>331</v>
      </c>
      <c r="H32" s="24"/>
    </row>
    <row r="34" customFormat="false" ht="15" hidden="false" customHeight="true" outlineLevel="0" collapsed="false">
      <c r="A34" s="28" t="s">
        <v>221</v>
      </c>
      <c r="B34" s="29" t="s">
        <v>332</v>
      </c>
      <c r="C34" s="29"/>
      <c r="D34" s="29"/>
      <c r="E34" s="29"/>
      <c r="F34" s="29"/>
      <c r="G34" s="29"/>
      <c r="H34" s="29"/>
    </row>
    <row r="35" customFormat="false" ht="15" hidden="false" customHeight="true" outlineLevel="0" collapsed="false">
      <c r="A35" s="30" t="s">
        <v>264</v>
      </c>
      <c r="B35" s="29" t="s">
        <v>333</v>
      </c>
      <c r="C35" s="29"/>
      <c r="D35" s="29"/>
      <c r="E35" s="29"/>
      <c r="F35" s="29"/>
      <c r="G35" s="29"/>
      <c r="H35" s="29"/>
    </row>
    <row r="36" customFormat="false" ht="15" hidden="false" customHeight="true" outlineLevel="0" collapsed="false">
      <c r="A36" s="31" t="s">
        <v>312</v>
      </c>
      <c r="B36" s="29" t="s">
        <v>334</v>
      </c>
      <c r="C36" s="29"/>
      <c r="D36" s="29"/>
      <c r="E36" s="29"/>
      <c r="F36" s="29"/>
      <c r="G36" s="29"/>
      <c r="H36" s="29"/>
    </row>
  </sheetData>
  <autoFilter ref="A4:H32"/>
  <mergeCells count="5">
    <mergeCell ref="A1:H1"/>
    <mergeCell ref="A2:H2"/>
    <mergeCell ref="B34:H34"/>
    <mergeCell ref="B35:H35"/>
    <mergeCell ref="B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8"/>
    <col collapsed="false" customWidth="true" hidden="false" outlineLevel="0" max="3" min="3" style="1" width="9"/>
    <col collapsed="false" customWidth="true" hidden="false" outlineLevel="0" max="4" min="4" style="1" width="44"/>
    <col collapsed="false" customWidth="true" hidden="false" outlineLevel="0" max="5" min="5" style="1" width="60"/>
    <col collapsed="false" customWidth="true" hidden="false" outlineLevel="0" max="6" min="6" style="1" width="26"/>
  </cols>
  <sheetData>
    <row r="1" customFormat="false" ht="17.25" hidden="false" customHeight="true" outlineLevel="0" collapsed="false">
      <c r="A1" s="32" t="s">
        <v>335</v>
      </c>
      <c r="B1" s="32"/>
      <c r="C1" s="32"/>
      <c r="D1" s="32"/>
      <c r="E1" s="32"/>
      <c r="F1" s="32"/>
    </row>
    <row r="2" customFormat="false" ht="15" hidden="false" customHeight="true" outlineLevel="0" collapsed="false">
      <c r="A2" s="3" t="s">
        <v>336</v>
      </c>
      <c r="B2" s="3"/>
      <c r="C2" s="3"/>
      <c r="D2" s="3"/>
      <c r="E2" s="3"/>
      <c r="F2" s="3"/>
    </row>
    <row r="4" customFormat="false" ht="15" hidden="false" customHeight="true" outlineLevel="0" collapsed="false">
      <c r="A4" s="4" t="s">
        <v>213</v>
      </c>
      <c r="B4" s="4" t="s">
        <v>337</v>
      </c>
      <c r="C4" s="4" t="s">
        <v>214</v>
      </c>
      <c r="D4" s="4" t="s">
        <v>338</v>
      </c>
      <c r="E4" s="4" t="s">
        <v>339</v>
      </c>
      <c r="F4" s="4" t="s">
        <v>218</v>
      </c>
    </row>
    <row r="5" customFormat="false" ht="77.25" hidden="false" customHeight="true" outlineLevel="0" collapsed="false">
      <c r="A5" s="33" t="s">
        <v>340</v>
      </c>
      <c r="B5" s="6" t="s">
        <v>341</v>
      </c>
      <c r="C5" s="24" t="s">
        <v>342</v>
      </c>
      <c r="D5" s="6" t="s">
        <v>343</v>
      </c>
      <c r="E5" s="6" t="s">
        <v>344</v>
      </c>
      <c r="F5" s="6" t="s">
        <v>345</v>
      </c>
    </row>
    <row r="6" customFormat="false" ht="64.5" hidden="false" customHeight="true" outlineLevel="0" collapsed="false">
      <c r="A6" s="33" t="s">
        <v>346</v>
      </c>
      <c r="B6" s="6" t="s">
        <v>347</v>
      </c>
      <c r="C6" s="24" t="s">
        <v>342</v>
      </c>
      <c r="D6" s="6" t="s">
        <v>348</v>
      </c>
      <c r="E6" s="6" t="s">
        <v>349</v>
      </c>
      <c r="F6" s="6" t="s">
        <v>350</v>
      </c>
    </row>
    <row r="7" customFormat="false" ht="64.5" hidden="false" customHeight="true" outlineLevel="0" collapsed="false">
      <c r="A7" s="33" t="s">
        <v>351</v>
      </c>
      <c r="B7" s="6" t="s">
        <v>352</v>
      </c>
      <c r="C7" s="24" t="s">
        <v>342</v>
      </c>
      <c r="D7" s="6" t="s">
        <v>353</v>
      </c>
      <c r="E7" s="6" t="s">
        <v>354</v>
      </c>
      <c r="F7" s="6" t="s">
        <v>355</v>
      </c>
    </row>
    <row r="8" customFormat="false" ht="51.75" hidden="false" customHeight="true" outlineLevel="0" collapsed="false">
      <c r="A8" s="33" t="s">
        <v>356</v>
      </c>
      <c r="B8" s="6" t="s">
        <v>357</v>
      </c>
      <c r="C8" s="24" t="s">
        <v>358</v>
      </c>
      <c r="D8" s="6" t="s">
        <v>359</v>
      </c>
      <c r="E8" s="6" t="s">
        <v>360</v>
      </c>
      <c r="F8" s="6" t="s">
        <v>361</v>
      </c>
    </row>
    <row r="9" customFormat="false" ht="64.5" hidden="false" customHeight="true" outlineLevel="0" collapsed="false">
      <c r="A9" s="33" t="s">
        <v>362</v>
      </c>
      <c r="B9" s="6" t="s">
        <v>363</v>
      </c>
      <c r="C9" s="24" t="s">
        <v>358</v>
      </c>
      <c r="D9" s="6" t="s">
        <v>364</v>
      </c>
      <c r="E9" s="6" t="s">
        <v>365</v>
      </c>
      <c r="F9" s="6" t="s">
        <v>366</v>
      </c>
    </row>
    <row r="10" customFormat="false" ht="51.75" hidden="false" customHeight="true" outlineLevel="0" collapsed="false">
      <c r="A10" s="33" t="s">
        <v>367</v>
      </c>
      <c r="B10" s="6" t="s">
        <v>368</v>
      </c>
      <c r="C10" s="24" t="s">
        <v>342</v>
      </c>
      <c r="D10" s="6" t="s">
        <v>369</v>
      </c>
      <c r="E10" s="6" t="s">
        <v>370</v>
      </c>
      <c r="F10" s="6" t="s">
        <v>371</v>
      </c>
    </row>
  </sheetData>
  <autoFilter ref="A4:F10"/>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11" activePane="bottomRight" state="frozen"/>
      <selection pane="topLeft" activeCell="A1" activeCellId="0" sqref="A1"/>
      <selection pane="topRight" activeCell="C1" activeCellId="0" sqref="C1"/>
      <selection pane="bottomLeft" activeCell="A11" activeCellId="0" sqref="A11"/>
      <selection pane="bottomRight" activeCell="C14" activeCellId="0" sqref="C14"/>
    </sheetView>
  </sheetViews>
  <sheetFormatPr defaultColWidth="8.73046875" defaultRowHeight="14.2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22"/>
    <col collapsed="false" customWidth="true" hidden="false" outlineLevel="0" max="4" min="4" style="1" width="32"/>
    <col collapsed="false" customWidth="true" hidden="false" outlineLevel="0" max="5" min="5" style="1" width="18"/>
    <col collapsed="false" customWidth="true" hidden="false" outlineLevel="0" max="6" min="6" style="1" width="26"/>
    <col collapsed="false" customWidth="true" hidden="false" outlineLevel="0" max="7" min="7" style="1" width="12"/>
    <col collapsed="false" customWidth="true" hidden="false" outlineLevel="0" max="8" min="8" style="1" width="14"/>
    <col collapsed="false" customWidth="true" hidden="false" outlineLevel="0" max="9" min="9" style="1" width="26"/>
    <col collapsed="false" customWidth="true" hidden="false" outlineLevel="0" max="10" min="10" style="1" width="13"/>
    <col collapsed="false" customWidth="true" hidden="false" outlineLevel="0" max="11" min="11" style="1" width="11"/>
    <col collapsed="false" customWidth="true" hidden="false" outlineLevel="0" max="12" min="12" style="1" width="10"/>
    <col collapsed="false" customWidth="true" hidden="false" outlineLevel="0" max="13" min="13" style="1" width="17"/>
    <col collapsed="false" customWidth="true" hidden="false" outlineLevel="0" max="14" min="14" style="1" width="15"/>
    <col collapsed="false" customWidth="true" hidden="false" outlineLevel="0" max="15" min="15" style="1" width="95"/>
    <col collapsed="false" customWidth="true" hidden="false" outlineLevel="0" max="16" min="16" style="1" width="46"/>
    <col collapsed="false" customWidth="true" hidden="false" outlineLevel="0" max="19" min="17" style="1" width="42"/>
    <col collapsed="false" customWidth="true" hidden="false" outlineLevel="0" max="20" min="20" style="1" width="46"/>
    <col collapsed="false" customWidth="true" hidden="false" outlineLevel="0" max="21" min="21" style="1" width="80"/>
    <col collapsed="false" customWidth="true" hidden="false" outlineLevel="0" max="22" min="22" style="1" width="12"/>
    <col collapsed="false" customWidth="true" hidden="false" outlineLevel="0" max="23" min="23" style="1" width="10"/>
    <col collapsed="false" customWidth="true" hidden="false" outlineLevel="0" max="24" min="24" style="1" width="62"/>
    <col collapsed="false" customWidth="true" hidden="false" outlineLevel="0" max="25" min="25" style="1" width="40"/>
    <col collapsed="false" customWidth="true" hidden="false" outlineLevel="0" max="27" min="26" style="1" width="12"/>
    <col collapsed="false" customWidth="true" hidden="false" outlineLevel="0" max="28" min="28" style="1" width="34"/>
    <col collapsed="false" customWidth="true" hidden="false" outlineLevel="0" max="29" min="29" style="1" width="18"/>
    <col collapsed="false" customWidth="true" hidden="false" outlineLevel="0" max="31" min="30" style="1" width="11"/>
    <col collapsed="false" customWidth="true" hidden="false" outlineLevel="0" max="32" min="32" style="1" width="9"/>
    <col collapsed="false" customWidth="true" hidden="false" outlineLevel="0" max="33" min="33" style="1" width="14"/>
    <col collapsed="false" customWidth="true" hidden="false" outlineLevel="0" max="34" min="34" style="1" width="16"/>
    <col collapsed="false" customWidth="true" hidden="false" outlineLevel="0" max="35" min="35" style="1" width="12"/>
    <col collapsed="false" customWidth="true" hidden="false" outlineLevel="0" max="36" min="36" style="1" width="34"/>
  </cols>
  <sheetData>
    <row r="1" customFormat="false" ht="18" hidden="false" customHeight="true" outlineLevel="0" collapsed="false">
      <c r="A1" s="15" t="s">
        <v>372</v>
      </c>
    </row>
    <row r="2" customFormat="false" ht="14.25" hidden="false" customHeight="true" outlineLevel="0" collapsed="false">
      <c r="A2" s="34" t="s">
        <v>373</v>
      </c>
    </row>
    <row r="4" customFormat="false" ht="23.25" hidden="false" customHeight="true" outlineLevel="0" collapsed="false">
      <c r="A4" s="35" t="s">
        <v>374</v>
      </c>
      <c r="B4" s="35" t="s">
        <v>375</v>
      </c>
      <c r="C4" s="35" t="s">
        <v>376</v>
      </c>
      <c r="D4" s="35" t="s">
        <v>377</v>
      </c>
      <c r="E4" s="35" t="s">
        <v>378</v>
      </c>
      <c r="F4" s="35" t="s">
        <v>379</v>
      </c>
      <c r="G4" s="35" t="s">
        <v>380</v>
      </c>
      <c r="H4" s="35" t="s">
        <v>381</v>
      </c>
      <c r="I4" s="35" t="s">
        <v>76</v>
      </c>
      <c r="J4" s="35" t="s">
        <v>382</v>
      </c>
      <c r="K4" s="35" t="s">
        <v>383</v>
      </c>
      <c r="L4" s="35" t="s">
        <v>384</v>
      </c>
      <c r="M4" s="35" t="s">
        <v>385</v>
      </c>
      <c r="N4" s="35" t="s">
        <v>386</v>
      </c>
      <c r="O4" s="35" t="s">
        <v>387</v>
      </c>
      <c r="P4" s="35" t="s">
        <v>388</v>
      </c>
      <c r="Q4" s="35" t="s">
        <v>389</v>
      </c>
      <c r="R4" s="35" t="s">
        <v>390</v>
      </c>
      <c r="S4" s="35" t="s">
        <v>391</v>
      </c>
      <c r="T4" s="35" t="s">
        <v>392</v>
      </c>
      <c r="U4" s="35" t="s">
        <v>393</v>
      </c>
      <c r="V4" s="35" t="s">
        <v>394</v>
      </c>
      <c r="W4" s="35" t="s">
        <v>395</v>
      </c>
      <c r="X4" s="35" t="s">
        <v>396</v>
      </c>
      <c r="Y4" s="35" t="s">
        <v>397</v>
      </c>
      <c r="Z4" s="35" t="s">
        <v>398</v>
      </c>
      <c r="AA4" s="35" t="s">
        <v>399</v>
      </c>
      <c r="AB4" s="35" t="s">
        <v>400</v>
      </c>
      <c r="AC4" s="35" t="s">
        <v>401</v>
      </c>
      <c r="AD4" s="35" t="s">
        <v>402</v>
      </c>
      <c r="AE4" s="35" t="s">
        <v>403</v>
      </c>
      <c r="AF4" s="35" t="s">
        <v>404</v>
      </c>
      <c r="AG4" s="35" t="s">
        <v>405</v>
      </c>
      <c r="AH4" s="35" t="s">
        <v>406</v>
      </c>
      <c r="AI4" s="35" t="s">
        <v>407</v>
      </c>
      <c r="AJ4" s="35" t="s">
        <v>408</v>
      </c>
    </row>
    <row r="5" customFormat="false" ht="42" hidden="false" customHeight="true" outlineLevel="0" collapsed="false">
      <c r="A5" s="36" t="s">
        <v>409</v>
      </c>
      <c r="B5" s="37" t="s">
        <v>410</v>
      </c>
      <c r="C5" s="37" t="s">
        <v>411</v>
      </c>
      <c r="D5" s="38" t="s">
        <v>412</v>
      </c>
      <c r="E5" s="37" t="s">
        <v>413</v>
      </c>
      <c r="F5" s="37" t="s">
        <v>414</v>
      </c>
      <c r="G5" s="36" t="s">
        <v>415</v>
      </c>
      <c r="H5" s="36" t="s">
        <v>78</v>
      </c>
      <c r="I5" s="38" t="s">
        <v>416</v>
      </c>
      <c r="J5" s="36" t="s">
        <v>417</v>
      </c>
      <c r="K5" s="36" t="s">
        <v>418</v>
      </c>
      <c r="L5" s="36" t="s">
        <v>419</v>
      </c>
      <c r="M5" s="36" t="s">
        <v>420</v>
      </c>
      <c r="N5" s="36" t="s">
        <v>421</v>
      </c>
      <c r="O5" s="38" t="s">
        <v>422</v>
      </c>
      <c r="P5" s="38" t="s">
        <v>423</v>
      </c>
      <c r="Q5" s="38" t="s">
        <v>424</v>
      </c>
      <c r="R5" s="38" t="s">
        <v>425</v>
      </c>
      <c r="S5" s="38" t="s">
        <v>426</v>
      </c>
      <c r="T5" s="38" t="s">
        <v>427</v>
      </c>
      <c r="U5" s="38" t="s">
        <v>428</v>
      </c>
      <c r="V5" s="36" t="n">
        <v>10</v>
      </c>
      <c r="W5" s="36" t="n">
        <v>1</v>
      </c>
      <c r="X5" s="39" t="s">
        <v>429</v>
      </c>
      <c r="Y5" s="39" t="s">
        <v>430</v>
      </c>
      <c r="Z5" s="36" t="s">
        <v>418</v>
      </c>
      <c r="AA5" s="36" t="s">
        <v>419</v>
      </c>
      <c r="AB5" s="39" t="s">
        <v>431</v>
      </c>
      <c r="AC5" s="40"/>
      <c r="AD5" s="36" t="s">
        <v>432</v>
      </c>
      <c r="AE5" s="36" t="s">
        <v>419</v>
      </c>
      <c r="AF5" s="36" t="s">
        <v>419</v>
      </c>
      <c r="AG5" s="36"/>
      <c r="AH5" s="36" t="s">
        <v>433</v>
      </c>
      <c r="AI5" s="36" t="s">
        <v>434</v>
      </c>
      <c r="AJ5" s="39" t="s">
        <v>435</v>
      </c>
    </row>
    <row r="6" customFormat="false" ht="42" hidden="false" customHeight="true" outlineLevel="0" collapsed="false">
      <c r="A6" s="41" t="s">
        <v>436</v>
      </c>
      <c r="B6" s="42" t="s">
        <v>437</v>
      </c>
      <c r="C6" s="42" t="s">
        <v>411</v>
      </c>
      <c r="D6" s="43" t="s">
        <v>412</v>
      </c>
      <c r="E6" s="42" t="s">
        <v>413</v>
      </c>
      <c r="F6" s="42" t="s">
        <v>414</v>
      </c>
      <c r="G6" s="41" t="s">
        <v>415</v>
      </c>
      <c r="H6" s="41" t="s">
        <v>438</v>
      </c>
      <c r="I6" s="43" t="s">
        <v>439</v>
      </c>
      <c r="J6" s="41" t="s">
        <v>53</v>
      </c>
      <c r="K6" s="41" t="s">
        <v>418</v>
      </c>
      <c r="L6" s="41" t="s">
        <v>419</v>
      </c>
      <c r="M6" s="41" t="s">
        <v>420</v>
      </c>
      <c r="N6" s="41" t="s">
        <v>440</v>
      </c>
      <c r="O6" s="43" t="s">
        <v>441</v>
      </c>
      <c r="P6" s="38" t="s">
        <v>442</v>
      </c>
      <c r="Q6" s="38" t="s">
        <v>443</v>
      </c>
      <c r="R6" s="38" t="s">
        <v>444</v>
      </c>
      <c r="S6" s="38" t="s">
        <v>445</v>
      </c>
      <c r="T6" s="38" t="s">
        <v>446</v>
      </c>
      <c r="U6" s="38" t="s">
        <v>447</v>
      </c>
      <c r="V6" s="36" t="n">
        <v>8</v>
      </c>
      <c r="W6" s="36" t="n">
        <v>1</v>
      </c>
      <c r="X6" s="39" t="s">
        <v>448</v>
      </c>
      <c r="Y6" s="39" t="s">
        <v>449</v>
      </c>
      <c r="Z6" s="36" t="s">
        <v>418</v>
      </c>
      <c r="AA6" s="36" t="s">
        <v>418</v>
      </c>
      <c r="AB6" s="39" t="s">
        <v>450</v>
      </c>
      <c r="AC6" s="40"/>
      <c r="AD6" s="36" t="s">
        <v>432</v>
      </c>
      <c r="AE6" s="36" t="s">
        <v>419</v>
      </c>
      <c r="AF6" s="36" t="s">
        <v>419</v>
      </c>
      <c r="AG6" s="36"/>
      <c r="AH6" s="36" t="s">
        <v>433</v>
      </c>
      <c r="AI6" s="36" t="s">
        <v>434</v>
      </c>
      <c r="AJ6" s="39" t="s">
        <v>435</v>
      </c>
    </row>
    <row r="7" customFormat="false" ht="42" hidden="false" customHeight="true" outlineLevel="0" collapsed="false">
      <c r="A7" s="36" t="s">
        <v>451</v>
      </c>
      <c r="B7" s="37" t="s">
        <v>452</v>
      </c>
      <c r="C7" s="37" t="s">
        <v>411</v>
      </c>
      <c r="D7" s="38" t="s">
        <v>453</v>
      </c>
      <c r="E7" s="37" t="s">
        <v>413</v>
      </c>
      <c r="F7" s="37" t="s">
        <v>414</v>
      </c>
      <c r="G7" s="36" t="s">
        <v>415</v>
      </c>
      <c r="H7" s="36" t="s">
        <v>438</v>
      </c>
      <c r="I7" s="38" t="s">
        <v>454</v>
      </c>
      <c r="J7" s="36" t="s">
        <v>53</v>
      </c>
      <c r="K7" s="36" t="s">
        <v>418</v>
      </c>
      <c r="L7" s="36" t="s">
        <v>419</v>
      </c>
      <c r="M7" s="36" t="s">
        <v>420</v>
      </c>
      <c r="N7" s="36" t="s">
        <v>440</v>
      </c>
      <c r="O7" s="38" t="s">
        <v>455</v>
      </c>
      <c r="P7" s="38" t="s">
        <v>456</v>
      </c>
      <c r="Q7" s="38" t="s">
        <v>457</v>
      </c>
      <c r="R7" s="38" t="s">
        <v>458</v>
      </c>
      <c r="S7" s="38" t="s">
        <v>459</v>
      </c>
      <c r="T7" s="38" t="s">
        <v>460</v>
      </c>
      <c r="U7" s="38" t="s">
        <v>461</v>
      </c>
      <c r="V7" s="36" t="n">
        <v>8</v>
      </c>
      <c r="W7" s="36" t="n">
        <v>1</v>
      </c>
      <c r="X7" s="39" t="s">
        <v>462</v>
      </c>
      <c r="Y7" s="39" t="s">
        <v>463</v>
      </c>
      <c r="Z7" s="36" t="s">
        <v>418</v>
      </c>
      <c r="AA7" s="36" t="s">
        <v>418</v>
      </c>
      <c r="AB7" s="39" t="s">
        <v>464</v>
      </c>
      <c r="AC7" s="40"/>
      <c r="AD7" s="36" t="s">
        <v>432</v>
      </c>
      <c r="AE7" s="36" t="s">
        <v>419</v>
      </c>
      <c r="AF7" s="36" t="s">
        <v>419</v>
      </c>
      <c r="AG7" s="36"/>
      <c r="AH7" s="36" t="s">
        <v>433</v>
      </c>
      <c r="AI7" s="36" t="s">
        <v>434</v>
      </c>
      <c r="AJ7" s="39" t="s">
        <v>435</v>
      </c>
    </row>
    <row r="8" customFormat="false" ht="42" hidden="false" customHeight="true" outlineLevel="0" collapsed="false">
      <c r="A8" s="41" t="s">
        <v>465</v>
      </c>
      <c r="B8" s="42" t="s">
        <v>466</v>
      </c>
      <c r="C8" s="42" t="s">
        <v>411</v>
      </c>
      <c r="D8" s="43" t="s">
        <v>467</v>
      </c>
      <c r="E8" s="42" t="s">
        <v>413</v>
      </c>
      <c r="F8" s="42" t="s">
        <v>414</v>
      </c>
      <c r="G8" s="41" t="s">
        <v>415</v>
      </c>
      <c r="H8" s="41" t="s">
        <v>468</v>
      </c>
      <c r="I8" s="43" t="s">
        <v>87</v>
      </c>
      <c r="J8" s="41" t="s">
        <v>53</v>
      </c>
      <c r="K8" s="41" t="s">
        <v>418</v>
      </c>
      <c r="L8" s="41" t="s">
        <v>418</v>
      </c>
      <c r="M8" s="41" t="s">
        <v>469</v>
      </c>
      <c r="N8" s="41" t="s">
        <v>470</v>
      </c>
      <c r="O8" s="43" t="s">
        <v>471</v>
      </c>
      <c r="P8" s="38" t="s">
        <v>472</v>
      </c>
      <c r="Q8" s="38" t="s">
        <v>473</v>
      </c>
      <c r="R8" s="38" t="s">
        <v>474</v>
      </c>
      <c r="S8" s="38" t="s">
        <v>475</v>
      </c>
      <c r="T8" s="38" t="s">
        <v>476</v>
      </c>
      <c r="U8" s="38" t="s">
        <v>477</v>
      </c>
      <c r="V8" s="36" t="n">
        <v>7</v>
      </c>
      <c r="W8" s="36" t="n">
        <v>0</v>
      </c>
      <c r="X8" s="39" t="s">
        <v>478</v>
      </c>
      <c r="Y8" s="39" t="s">
        <v>479</v>
      </c>
      <c r="Z8" s="36" t="s">
        <v>419</v>
      </c>
      <c r="AA8" s="36" t="s">
        <v>418</v>
      </c>
      <c r="AB8" s="39" t="s">
        <v>26</v>
      </c>
      <c r="AC8" s="40"/>
      <c r="AD8" s="36" t="s">
        <v>432</v>
      </c>
      <c r="AE8" s="36" t="s">
        <v>418</v>
      </c>
      <c r="AF8" s="36" t="s">
        <v>419</v>
      </c>
      <c r="AG8" s="36"/>
      <c r="AH8" s="36" t="s">
        <v>480</v>
      </c>
      <c r="AI8" s="36" t="s">
        <v>481</v>
      </c>
      <c r="AJ8" s="39" t="s">
        <v>435</v>
      </c>
    </row>
    <row r="9" customFormat="false" ht="42" hidden="false" customHeight="true" outlineLevel="0" collapsed="false">
      <c r="A9" s="36" t="s">
        <v>482</v>
      </c>
      <c r="B9" s="37" t="s">
        <v>483</v>
      </c>
      <c r="C9" s="37" t="s">
        <v>411</v>
      </c>
      <c r="D9" s="38" t="s">
        <v>484</v>
      </c>
      <c r="E9" s="37" t="s">
        <v>413</v>
      </c>
      <c r="F9" s="37" t="s">
        <v>414</v>
      </c>
      <c r="G9" s="36" t="s">
        <v>415</v>
      </c>
      <c r="H9" s="36" t="s">
        <v>438</v>
      </c>
      <c r="I9" s="38" t="s">
        <v>485</v>
      </c>
      <c r="J9" s="36" t="s">
        <v>53</v>
      </c>
      <c r="K9" s="36" t="s">
        <v>418</v>
      </c>
      <c r="L9" s="36" t="s">
        <v>419</v>
      </c>
      <c r="M9" s="36" t="s">
        <v>420</v>
      </c>
      <c r="N9" s="36" t="s">
        <v>440</v>
      </c>
      <c r="O9" s="38" t="s">
        <v>486</v>
      </c>
      <c r="P9" s="38" t="s">
        <v>487</v>
      </c>
      <c r="Q9" s="38" t="s">
        <v>488</v>
      </c>
      <c r="R9" s="38" t="s">
        <v>489</v>
      </c>
      <c r="S9" s="38" t="s">
        <v>490</v>
      </c>
      <c r="T9" s="38" t="s">
        <v>491</v>
      </c>
      <c r="U9" s="38" t="s">
        <v>492</v>
      </c>
      <c r="V9" s="36" t="n">
        <v>6</v>
      </c>
      <c r="W9" s="36" t="n">
        <v>0</v>
      </c>
      <c r="X9" s="39" t="s">
        <v>493</v>
      </c>
      <c r="Y9" s="39" t="s">
        <v>494</v>
      </c>
      <c r="Z9" s="36" t="s">
        <v>419</v>
      </c>
      <c r="AA9" s="36" t="s">
        <v>418</v>
      </c>
      <c r="AB9" s="39" t="s">
        <v>495</v>
      </c>
      <c r="AC9" s="40"/>
      <c r="AD9" s="36" t="s">
        <v>432</v>
      </c>
      <c r="AE9" s="36" t="s">
        <v>419</v>
      </c>
      <c r="AF9" s="36" t="s">
        <v>419</v>
      </c>
      <c r="AG9" s="36"/>
      <c r="AH9" s="36" t="s">
        <v>433</v>
      </c>
      <c r="AI9" s="36" t="s">
        <v>434</v>
      </c>
      <c r="AJ9" s="39" t="s">
        <v>435</v>
      </c>
    </row>
    <row r="10" customFormat="false" ht="42" hidden="false" customHeight="true" outlineLevel="0" collapsed="false">
      <c r="A10" s="41" t="s">
        <v>496</v>
      </c>
      <c r="B10" s="42" t="s">
        <v>497</v>
      </c>
      <c r="C10" s="42" t="s">
        <v>411</v>
      </c>
      <c r="D10" s="43" t="s">
        <v>498</v>
      </c>
      <c r="E10" s="42" t="s">
        <v>413</v>
      </c>
      <c r="F10" s="42" t="s">
        <v>499</v>
      </c>
      <c r="G10" s="41" t="s">
        <v>500</v>
      </c>
      <c r="H10" s="41" t="s">
        <v>78</v>
      </c>
      <c r="I10" s="43" t="s">
        <v>501</v>
      </c>
      <c r="J10" s="41" t="s">
        <v>53</v>
      </c>
      <c r="K10" s="41" t="s">
        <v>418</v>
      </c>
      <c r="L10" s="41" t="s">
        <v>419</v>
      </c>
      <c r="M10" s="41" t="s">
        <v>420</v>
      </c>
      <c r="N10" s="41" t="s">
        <v>440</v>
      </c>
      <c r="O10" s="43" t="s">
        <v>502</v>
      </c>
      <c r="P10" s="38" t="s">
        <v>503</v>
      </c>
      <c r="Q10" s="38" t="s">
        <v>504</v>
      </c>
      <c r="R10" s="38" t="s">
        <v>505</v>
      </c>
      <c r="S10" s="38" t="s">
        <v>506</v>
      </c>
      <c r="T10" s="38" t="s">
        <v>507</v>
      </c>
      <c r="U10" s="38" t="s">
        <v>508</v>
      </c>
      <c r="V10" s="36" t="n">
        <v>5</v>
      </c>
      <c r="W10" s="36" t="n">
        <v>0</v>
      </c>
      <c r="X10" s="39" t="s">
        <v>509</v>
      </c>
      <c r="Y10" s="39" t="s">
        <v>510</v>
      </c>
      <c r="Z10" s="36" t="s">
        <v>419</v>
      </c>
      <c r="AA10" s="36" t="s">
        <v>418</v>
      </c>
      <c r="AB10" s="39" t="s">
        <v>511</v>
      </c>
      <c r="AC10" s="40"/>
      <c r="AD10" s="36" t="s">
        <v>432</v>
      </c>
      <c r="AE10" s="36" t="s">
        <v>418</v>
      </c>
      <c r="AF10" s="36" t="s">
        <v>419</v>
      </c>
      <c r="AG10" s="36"/>
      <c r="AH10" s="36" t="s">
        <v>433</v>
      </c>
      <c r="AI10" s="36" t="s">
        <v>434</v>
      </c>
      <c r="AJ10" s="39" t="s">
        <v>435</v>
      </c>
    </row>
    <row r="11" customFormat="false" ht="42" hidden="false" customHeight="true" outlineLevel="0" collapsed="false">
      <c r="A11" s="36" t="s">
        <v>512</v>
      </c>
      <c r="B11" s="37" t="s">
        <v>513</v>
      </c>
      <c r="C11" s="37" t="s">
        <v>411</v>
      </c>
      <c r="D11" s="38" t="s">
        <v>498</v>
      </c>
      <c r="E11" s="37" t="s">
        <v>413</v>
      </c>
      <c r="F11" s="37" t="s">
        <v>499</v>
      </c>
      <c r="G11" s="36" t="s">
        <v>500</v>
      </c>
      <c r="H11" s="36" t="s">
        <v>438</v>
      </c>
      <c r="I11" s="38" t="s">
        <v>439</v>
      </c>
      <c r="J11" s="36" t="s">
        <v>417</v>
      </c>
      <c r="K11" s="36" t="s">
        <v>418</v>
      </c>
      <c r="L11" s="36" t="s">
        <v>419</v>
      </c>
      <c r="M11" s="36" t="s">
        <v>420</v>
      </c>
      <c r="N11" s="36" t="s">
        <v>440</v>
      </c>
      <c r="O11" s="38" t="s">
        <v>514</v>
      </c>
      <c r="P11" s="38" t="s">
        <v>515</v>
      </c>
      <c r="Q11" s="38" t="s">
        <v>516</v>
      </c>
      <c r="R11" s="38" t="s">
        <v>517</v>
      </c>
      <c r="S11" s="38" t="s">
        <v>518</v>
      </c>
      <c r="T11" s="38" t="s">
        <v>519</v>
      </c>
      <c r="U11" s="38" t="s">
        <v>520</v>
      </c>
      <c r="V11" s="36" t="n">
        <v>5</v>
      </c>
      <c r="W11" s="36" t="n">
        <v>0</v>
      </c>
      <c r="X11" s="39" t="s">
        <v>521</v>
      </c>
      <c r="Y11" s="39" t="s">
        <v>522</v>
      </c>
      <c r="Z11" s="36" t="s">
        <v>419</v>
      </c>
      <c r="AA11" s="36" t="s">
        <v>418</v>
      </c>
      <c r="AB11" s="39" t="s">
        <v>450</v>
      </c>
      <c r="AC11" s="40"/>
      <c r="AD11" s="36" t="s">
        <v>432</v>
      </c>
      <c r="AE11" s="36" t="s">
        <v>419</v>
      </c>
      <c r="AF11" s="36" t="s">
        <v>419</v>
      </c>
      <c r="AG11" s="36"/>
      <c r="AH11" s="36" t="s">
        <v>433</v>
      </c>
      <c r="AI11" s="36" t="s">
        <v>434</v>
      </c>
      <c r="AJ11" s="39" t="s">
        <v>435</v>
      </c>
    </row>
    <row r="12" customFormat="false" ht="42" hidden="false" customHeight="true" outlineLevel="0" collapsed="false">
      <c r="A12" s="41" t="s">
        <v>523</v>
      </c>
      <c r="B12" s="42" t="s">
        <v>524</v>
      </c>
      <c r="C12" s="42" t="s">
        <v>411</v>
      </c>
      <c r="D12" s="43" t="s">
        <v>525</v>
      </c>
      <c r="E12" s="42" t="s">
        <v>526</v>
      </c>
      <c r="F12" s="42" t="s">
        <v>414</v>
      </c>
      <c r="G12" s="41" t="s">
        <v>415</v>
      </c>
      <c r="H12" s="41" t="s">
        <v>438</v>
      </c>
      <c r="I12" s="43" t="s">
        <v>527</v>
      </c>
      <c r="J12" s="41" t="s">
        <v>528</v>
      </c>
      <c r="K12" s="41" t="s">
        <v>418</v>
      </c>
      <c r="L12" s="41" t="s">
        <v>419</v>
      </c>
      <c r="M12" s="41" t="s">
        <v>420</v>
      </c>
      <c r="N12" s="41" t="s">
        <v>421</v>
      </c>
      <c r="O12" s="43" t="s">
        <v>529</v>
      </c>
      <c r="P12" s="38" t="s">
        <v>530</v>
      </c>
      <c r="Q12" s="38" t="s">
        <v>531</v>
      </c>
      <c r="R12" s="38" t="s">
        <v>532</v>
      </c>
      <c r="S12" s="38" t="s">
        <v>533</v>
      </c>
      <c r="T12" s="38" t="s">
        <v>534</v>
      </c>
      <c r="U12" s="38" t="s">
        <v>535</v>
      </c>
      <c r="V12" s="36" t="n">
        <v>7</v>
      </c>
      <c r="W12" s="36" t="n">
        <v>2</v>
      </c>
      <c r="X12" s="39" t="s">
        <v>536</v>
      </c>
      <c r="Y12" s="39" t="s">
        <v>537</v>
      </c>
      <c r="Z12" s="36" t="s">
        <v>418</v>
      </c>
      <c r="AA12" s="36" t="s">
        <v>418</v>
      </c>
      <c r="AB12" s="39" t="s">
        <v>538</v>
      </c>
      <c r="AC12" s="40"/>
      <c r="AD12" s="36" t="s">
        <v>432</v>
      </c>
      <c r="AE12" s="36" t="s">
        <v>418</v>
      </c>
      <c r="AF12" s="36" t="s">
        <v>419</v>
      </c>
      <c r="AG12" s="36"/>
      <c r="AH12" s="36" t="s">
        <v>433</v>
      </c>
      <c r="AI12" s="36" t="s">
        <v>434</v>
      </c>
      <c r="AJ12" s="39" t="s">
        <v>539</v>
      </c>
    </row>
    <row r="13" customFormat="false" ht="42" hidden="false" customHeight="true" outlineLevel="0" collapsed="false">
      <c r="A13" s="36" t="s">
        <v>540</v>
      </c>
      <c r="B13" s="37" t="s">
        <v>541</v>
      </c>
      <c r="C13" s="37" t="s">
        <v>411</v>
      </c>
      <c r="D13" s="38" t="s">
        <v>542</v>
      </c>
      <c r="E13" s="37" t="s">
        <v>413</v>
      </c>
      <c r="F13" s="37" t="s">
        <v>414</v>
      </c>
      <c r="G13" s="36" t="s">
        <v>415</v>
      </c>
      <c r="H13" s="36" t="s">
        <v>78</v>
      </c>
      <c r="I13" s="38" t="s">
        <v>543</v>
      </c>
      <c r="J13" s="36" t="s">
        <v>417</v>
      </c>
      <c r="K13" s="36" t="s">
        <v>418</v>
      </c>
      <c r="L13" s="36" t="s">
        <v>419</v>
      </c>
      <c r="M13" s="36" t="s">
        <v>420</v>
      </c>
      <c r="N13" s="36" t="s">
        <v>421</v>
      </c>
      <c r="O13" s="38" t="s">
        <v>544</v>
      </c>
      <c r="P13" s="38" t="s">
        <v>545</v>
      </c>
      <c r="Q13" s="38" t="s">
        <v>546</v>
      </c>
      <c r="R13" s="38" t="s">
        <v>547</v>
      </c>
      <c r="S13" s="38" t="s">
        <v>548</v>
      </c>
      <c r="T13" s="38" t="s">
        <v>549</v>
      </c>
      <c r="U13" s="38" t="s">
        <v>550</v>
      </c>
      <c r="V13" s="36" t="n">
        <v>6</v>
      </c>
      <c r="W13" s="36" t="n">
        <v>1</v>
      </c>
      <c r="X13" s="39" t="s">
        <v>551</v>
      </c>
      <c r="Y13" s="39" t="s">
        <v>552</v>
      </c>
      <c r="Z13" s="36" t="s">
        <v>418</v>
      </c>
      <c r="AA13" s="36" t="s">
        <v>419</v>
      </c>
      <c r="AB13" s="39" t="s">
        <v>553</v>
      </c>
      <c r="AC13" s="40"/>
      <c r="AD13" s="36" t="s">
        <v>432</v>
      </c>
      <c r="AE13" s="36" t="s">
        <v>419</v>
      </c>
      <c r="AF13" s="36" t="s">
        <v>419</v>
      </c>
      <c r="AG13" s="36"/>
      <c r="AH13" s="36" t="s">
        <v>433</v>
      </c>
      <c r="AI13" s="36" t="s">
        <v>434</v>
      </c>
      <c r="AJ13" s="39" t="s">
        <v>435</v>
      </c>
    </row>
    <row r="14" customFormat="false" ht="42" hidden="false" customHeight="true" outlineLevel="0" collapsed="false">
      <c r="A14" s="41" t="s">
        <v>554</v>
      </c>
      <c r="B14" s="42" t="s">
        <v>555</v>
      </c>
      <c r="C14" s="42" t="s">
        <v>411</v>
      </c>
      <c r="D14" s="43" t="s">
        <v>525</v>
      </c>
      <c r="E14" s="42" t="s">
        <v>413</v>
      </c>
      <c r="F14" s="42" t="s">
        <v>414</v>
      </c>
      <c r="G14" s="41" t="s">
        <v>415</v>
      </c>
      <c r="H14" s="41" t="s">
        <v>78</v>
      </c>
      <c r="I14" s="43" t="s">
        <v>556</v>
      </c>
      <c r="J14" s="41" t="s">
        <v>417</v>
      </c>
      <c r="K14" s="41" t="s">
        <v>418</v>
      </c>
      <c r="L14" s="41" t="s">
        <v>419</v>
      </c>
      <c r="M14" s="41" t="s">
        <v>420</v>
      </c>
      <c r="N14" s="41" t="s">
        <v>421</v>
      </c>
      <c r="O14" s="43" t="s">
        <v>557</v>
      </c>
      <c r="P14" s="38" t="s">
        <v>558</v>
      </c>
      <c r="Q14" s="38" t="s">
        <v>559</v>
      </c>
      <c r="R14" s="38" t="s">
        <v>560</v>
      </c>
      <c r="S14" s="38" t="s">
        <v>561</v>
      </c>
      <c r="T14" s="38" t="s">
        <v>562</v>
      </c>
      <c r="U14" s="38" t="s">
        <v>563</v>
      </c>
      <c r="V14" s="36" t="n">
        <v>6</v>
      </c>
      <c r="W14" s="36" t="n">
        <v>1</v>
      </c>
      <c r="X14" s="39" t="s">
        <v>564</v>
      </c>
      <c r="Y14" s="39" t="s">
        <v>565</v>
      </c>
      <c r="Z14" s="36" t="s">
        <v>418</v>
      </c>
      <c r="AA14" s="36" t="s">
        <v>419</v>
      </c>
      <c r="AB14" s="39" t="s">
        <v>566</v>
      </c>
      <c r="AC14" s="40"/>
      <c r="AD14" s="36" t="s">
        <v>432</v>
      </c>
      <c r="AE14" s="36" t="s">
        <v>419</v>
      </c>
      <c r="AF14" s="36" t="s">
        <v>419</v>
      </c>
      <c r="AG14" s="36"/>
      <c r="AH14" s="36" t="s">
        <v>433</v>
      </c>
      <c r="AI14" s="36" t="s">
        <v>434</v>
      </c>
      <c r="AJ14" s="39" t="s">
        <v>435</v>
      </c>
    </row>
    <row r="15" customFormat="false" ht="42" hidden="false" customHeight="true" outlineLevel="0" collapsed="false">
      <c r="A15" s="36" t="s">
        <v>567</v>
      </c>
      <c r="B15" s="37" t="s">
        <v>568</v>
      </c>
      <c r="C15" s="37" t="s">
        <v>411</v>
      </c>
      <c r="D15" s="38" t="s">
        <v>467</v>
      </c>
      <c r="E15" s="37" t="s">
        <v>413</v>
      </c>
      <c r="F15" s="37" t="s">
        <v>414</v>
      </c>
      <c r="G15" s="36" t="s">
        <v>415</v>
      </c>
      <c r="H15" s="36" t="s">
        <v>468</v>
      </c>
      <c r="I15" s="38" t="s">
        <v>569</v>
      </c>
      <c r="J15" s="36" t="s">
        <v>53</v>
      </c>
      <c r="K15" s="36" t="s">
        <v>418</v>
      </c>
      <c r="L15" s="36" t="s">
        <v>418</v>
      </c>
      <c r="M15" s="36" t="s">
        <v>469</v>
      </c>
      <c r="N15" s="36" t="s">
        <v>470</v>
      </c>
      <c r="O15" s="38" t="s">
        <v>570</v>
      </c>
      <c r="P15" s="38" t="s">
        <v>571</v>
      </c>
      <c r="Q15" s="38" t="s">
        <v>572</v>
      </c>
      <c r="R15" s="38" t="s">
        <v>573</v>
      </c>
      <c r="S15" s="38" t="s">
        <v>574</v>
      </c>
      <c r="T15" s="38" t="s">
        <v>575</v>
      </c>
      <c r="U15" s="38" t="s">
        <v>576</v>
      </c>
      <c r="V15" s="36" t="n">
        <v>5</v>
      </c>
      <c r="W15" s="36" t="n">
        <v>0</v>
      </c>
      <c r="X15" s="39" t="s">
        <v>577</v>
      </c>
      <c r="Y15" s="39" t="s">
        <v>578</v>
      </c>
      <c r="Z15" s="36" t="s">
        <v>419</v>
      </c>
      <c r="AA15" s="36" t="s">
        <v>418</v>
      </c>
      <c r="AB15" s="39" t="s">
        <v>579</v>
      </c>
      <c r="AC15" s="40"/>
      <c r="AD15" s="36" t="s">
        <v>432</v>
      </c>
      <c r="AE15" s="36" t="s">
        <v>418</v>
      </c>
      <c r="AF15" s="36" t="s">
        <v>419</v>
      </c>
      <c r="AG15" s="36"/>
      <c r="AH15" s="36" t="s">
        <v>480</v>
      </c>
      <c r="AI15" s="36" t="s">
        <v>481</v>
      </c>
      <c r="AJ15" s="39" t="s">
        <v>435</v>
      </c>
    </row>
    <row r="16" customFormat="false" ht="42" hidden="false" customHeight="true" outlineLevel="0" collapsed="false">
      <c r="A16" s="41" t="s">
        <v>580</v>
      </c>
      <c r="B16" s="42" t="s">
        <v>581</v>
      </c>
      <c r="C16" s="42" t="s">
        <v>411</v>
      </c>
      <c r="D16" s="43" t="s">
        <v>542</v>
      </c>
      <c r="E16" s="42" t="s">
        <v>413</v>
      </c>
      <c r="F16" s="42" t="s">
        <v>414</v>
      </c>
      <c r="G16" s="41" t="s">
        <v>415</v>
      </c>
      <c r="H16" s="41" t="s">
        <v>468</v>
      </c>
      <c r="I16" s="43" t="s">
        <v>582</v>
      </c>
      <c r="J16" s="41" t="s">
        <v>417</v>
      </c>
      <c r="K16" s="41" t="s">
        <v>418</v>
      </c>
      <c r="L16" s="41" t="s">
        <v>418</v>
      </c>
      <c r="M16" s="41" t="s">
        <v>469</v>
      </c>
      <c r="N16" s="41" t="s">
        <v>440</v>
      </c>
      <c r="O16" s="43" t="s">
        <v>583</v>
      </c>
      <c r="P16" s="38" t="s">
        <v>584</v>
      </c>
      <c r="Q16" s="38" t="s">
        <v>585</v>
      </c>
      <c r="R16" s="38" t="s">
        <v>586</v>
      </c>
      <c r="S16" s="38" t="s">
        <v>587</v>
      </c>
      <c r="T16" s="38" t="s">
        <v>588</v>
      </c>
      <c r="U16" s="38" t="s">
        <v>589</v>
      </c>
      <c r="V16" s="36" t="n">
        <v>5</v>
      </c>
      <c r="W16" s="36" t="n">
        <v>0</v>
      </c>
      <c r="X16" s="39" t="s">
        <v>577</v>
      </c>
      <c r="Y16" s="39" t="s">
        <v>590</v>
      </c>
      <c r="Z16" s="36" t="s">
        <v>419</v>
      </c>
      <c r="AA16" s="36" t="s">
        <v>418</v>
      </c>
      <c r="AB16" s="39" t="s">
        <v>591</v>
      </c>
      <c r="AC16" s="40"/>
      <c r="AD16" s="36" t="s">
        <v>432</v>
      </c>
      <c r="AE16" s="36" t="s">
        <v>418</v>
      </c>
      <c r="AF16" s="36" t="s">
        <v>419</v>
      </c>
      <c r="AG16" s="36"/>
      <c r="AH16" s="36" t="s">
        <v>480</v>
      </c>
      <c r="AI16" s="36" t="s">
        <v>481</v>
      </c>
      <c r="AJ16" s="39" t="s">
        <v>435</v>
      </c>
    </row>
    <row r="17" customFormat="false" ht="42" hidden="false" customHeight="true" outlineLevel="0" collapsed="false">
      <c r="A17" s="36" t="s">
        <v>592</v>
      </c>
      <c r="B17" s="37" t="s">
        <v>593</v>
      </c>
      <c r="C17" s="37" t="s">
        <v>594</v>
      </c>
      <c r="D17" s="38" t="s">
        <v>595</v>
      </c>
      <c r="E17" s="37" t="s">
        <v>596</v>
      </c>
      <c r="F17" s="37" t="s">
        <v>597</v>
      </c>
      <c r="G17" s="36" t="s">
        <v>415</v>
      </c>
      <c r="H17" s="36" t="s">
        <v>78</v>
      </c>
      <c r="I17" s="38" t="s">
        <v>598</v>
      </c>
      <c r="J17" s="36" t="s">
        <v>528</v>
      </c>
      <c r="K17" s="36" t="s">
        <v>418</v>
      </c>
      <c r="L17" s="36" t="s">
        <v>419</v>
      </c>
      <c r="M17" s="36" t="s">
        <v>420</v>
      </c>
      <c r="N17" s="36" t="s">
        <v>421</v>
      </c>
      <c r="O17" s="38" t="s">
        <v>599</v>
      </c>
      <c r="P17" s="38" t="s">
        <v>600</v>
      </c>
      <c r="Q17" s="38" t="s">
        <v>601</v>
      </c>
      <c r="R17" s="38" t="s">
        <v>602</v>
      </c>
      <c r="S17" s="38" t="s">
        <v>603</v>
      </c>
      <c r="T17" s="38" t="s">
        <v>604</v>
      </c>
      <c r="U17" s="38" t="s">
        <v>605</v>
      </c>
      <c r="V17" s="36" t="n">
        <v>9</v>
      </c>
      <c r="W17" s="36" t="n">
        <v>2</v>
      </c>
      <c r="X17" s="39" t="s">
        <v>606</v>
      </c>
      <c r="Y17" s="39" t="s">
        <v>607</v>
      </c>
      <c r="Z17" s="36" t="s">
        <v>418</v>
      </c>
      <c r="AA17" s="36" t="s">
        <v>418</v>
      </c>
      <c r="AB17" s="39" t="s">
        <v>608</v>
      </c>
      <c r="AC17" s="40"/>
      <c r="AD17" s="36" t="s">
        <v>432</v>
      </c>
      <c r="AE17" s="36" t="s">
        <v>418</v>
      </c>
      <c r="AF17" s="36" t="s">
        <v>419</v>
      </c>
      <c r="AG17" s="36"/>
      <c r="AH17" s="36" t="s">
        <v>433</v>
      </c>
      <c r="AI17" s="36" t="s">
        <v>434</v>
      </c>
      <c r="AJ17" s="39" t="s">
        <v>609</v>
      </c>
    </row>
    <row r="18" customFormat="false" ht="42" hidden="false" customHeight="true" outlineLevel="0" collapsed="false">
      <c r="A18" s="41" t="s">
        <v>610</v>
      </c>
      <c r="B18" s="42" t="s">
        <v>611</v>
      </c>
      <c r="C18" s="42" t="s">
        <v>594</v>
      </c>
      <c r="D18" s="43" t="s">
        <v>612</v>
      </c>
      <c r="E18" s="42" t="s">
        <v>613</v>
      </c>
      <c r="F18" s="42" t="s">
        <v>614</v>
      </c>
      <c r="G18" s="41" t="s">
        <v>415</v>
      </c>
      <c r="H18" s="41" t="s">
        <v>78</v>
      </c>
      <c r="I18" s="43" t="s">
        <v>615</v>
      </c>
      <c r="J18" s="41" t="s">
        <v>417</v>
      </c>
      <c r="K18" s="41" t="s">
        <v>418</v>
      </c>
      <c r="L18" s="41" t="s">
        <v>419</v>
      </c>
      <c r="M18" s="41" t="s">
        <v>420</v>
      </c>
      <c r="N18" s="41" t="s">
        <v>421</v>
      </c>
      <c r="O18" s="43" t="s">
        <v>616</v>
      </c>
      <c r="P18" s="38" t="s">
        <v>617</v>
      </c>
      <c r="Q18" s="38" t="s">
        <v>618</v>
      </c>
      <c r="R18" s="38" t="s">
        <v>619</v>
      </c>
      <c r="S18" s="38" t="s">
        <v>620</v>
      </c>
      <c r="T18" s="38" t="s">
        <v>621</v>
      </c>
      <c r="U18" s="38" t="s">
        <v>622</v>
      </c>
      <c r="V18" s="36" t="n">
        <v>6</v>
      </c>
      <c r="W18" s="36" t="n">
        <v>1</v>
      </c>
      <c r="X18" s="39" t="s">
        <v>623</v>
      </c>
      <c r="Y18" s="39" t="s">
        <v>624</v>
      </c>
      <c r="Z18" s="36" t="s">
        <v>418</v>
      </c>
      <c r="AA18" s="36" t="s">
        <v>418</v>
      </c>
      <c r="AB18" s="39" t="s">
        <v>625</v>
      </c>
      <c r="AC18" s="40"/>
      <c r="AD18" s="36" t="s">
        <v>432</v>
      </c>
      <c r="AE18" s="36" t="s">
        <v>418</v>
      </c>
      <c r="AF18" s="36" t="s">
        <v>419</v>
      </c>
      <c r="AG18" s="36"/>
      <c r="AH18" s="36" t="s">
        <v>433</v>
      </c>
      <c r="AI18" s="36" t="s">
        <v>434</v>
      </c>
      <c r="AJ18" s="39" t="s">
        <v>626</v>
      </c>
    </row>
    <row r="19" customFormat="false" ht="42" hidden="false" customHeight="true" outlineLevel="0" collapsed="false">
      <c r="A19" s="36" t="s">
        <v>627</v>
      </c>
      <c r="B19" s="37" t="s">
        <v>628</v>
      </c>
      <c r="C19" s="37" t="s">
        <v>594</v>
      </c>
      <c r="D19" s="38" t="s">
        <v>629</v>
      </c>
      <c r="E19" s="37" t="s">
        <v>613</v>
      </c>
      <c r="F19" s="37" t="s">
        <v>614</v>
      </c>
      <c r="G19" s="36" t="s">
        <v>415</v>
      </c>
      <c r="H19" s="36" t="s">
        <v>438</v>
      </c>
      <c r="I19" s="38" t="s">
        <v>630</v>
      </c>
      <c r="J19" s="36" t="s">
        <v>53</v>
      </c>
      <c r="K19" s="36" t="s">
        <v>419</v>
      </c>
      <c r="L19" s="36" t="s">
        <v>419</v>
      </c>
      <c r="M19" s="36" t="s">
        <v>420</v>
      </c>
      <c r="N19" s="36" t="s">
        <v>440</v>
      </c>
      <c r="O19" s="38" t="s">
        <v>631</v>
      </c>
      <c r="P19" s="38" t="s">
        <v>632</v>
      </c>
      <c r="Q19" s="38" t="s">
        <v>633</v>
      </c>
      <c r="R19" s="38" t="s">
        <v>634</v>
      </c>
      <c r="S19" s="38" t="s">
        <v>635</v>
      </c>
      <c r="T19" s="38" t="s">
        <v>636</v>
      </c>
      <c r="U19" s="38" t="s">
        <v>637</v>
      </c>
      <c r="V19" s="36" t="n">
        <v>5</v>
      </c>
      <c r="W19" s="36" t="n">
        <v>1</v>
      </c>
      <c r="X19" s="39" t="s">
        <v>623</v>
      </c>
      <c r="Y19" s="39" t="s">
        <v>638</v>
      </c>
      <c r="Z19" s="36" t="s">
        <v>418</v>
      </c>
      <c r="AA19" s="36" t="s">
        <v>418</v>
      </c>
      <c r="AB19" s="39" t="s">
        <v>450</v>
      </c>
      <c r="AC19" s="40"/>
      <c r="AD19" s="36" t="s">
        <v>432</v>
      </c>
      <c r="AE19" s="36" t="s">
        <v>419</v>
      </c>
      <c r="AF19" s="36" t="s">
        <v>419</v>
      </c>
      <c r="AG19" s="36"/>
      <c r="AH19" s="36" t="s">
        <v>433</v>
      </c>
      <c r="AI19" s="36" t="s">
        <v>434</v>
      </c>
      <c r="AJ19" s="39" t="s">
        <v>639</v>
      </c>
    </row>
    <row r="20" customFormat="false" ht="42" hidden="false" customHeight="true" outlineLevel="0" collapsed="false">
      <c r="A20" s="41" t="s">
        <v>640</v>
      </c>
      <c r="B20" s="42" t="s">
        <v>641</v>
      </c>
      <c r="C20" s="42" t="s">
        <v>594</v>
      </c>
      <c r="D20" s="43" t="s">
        <v>642</v>
      </c>
      <c r="E20" s="42" t="s">
        <v>643</v>
      </c>
      <c r="F20" s="42" t="s">
        <v>644</v>
      </c>
      <c r="G20" s="41" t="s">
        <v>415</v>
      </c>
      <c r="H20" s="41" t="s">
        <v>468</v>
      </c>
      <c r="I20" s="43" t="s">
        <v>645</v>
      </c>
      <c r="J20" s="41" t="s">
        <v>528</v>
      </c>
      <c r="K20" s="41" t="s">
        <v>418</v>
      </c>
      <c r="L20" s="41" t="s">
        <v>419</v>
      </c>
      <c r="M20" s="41" t="s">
        <v>420</v>
      </c>
      <c r="N20" s="41" t="s">
        <v>421</v>
      </c>
      <c r="O20" s="43" t="s">
        <v>646</v>
      </c>
      <c r="P20" s="38" t="s">
        <v>647</v>
      </c>
      <c r="Q20" s="38" t="s">
        <v>648</v>
      </c>
      <c r="R20" s="38" t="s">
        <v>649</v>
      </c>
      <c r="S20" s="38" t="s">
        <v>650</v>
      </c>
      <c r="T20" s="38" t="s">
        <v>651</v>
      </c>
      <c r="U20" s="38" t="s">
        <v>652</v>
      </c>
      <c r="V20" s="36" t="n">
        <v>6</v>
      </c>
      <c r="W20" s="36" t="n">
        <v>2</v>
      </c>
      <c r="X20" s="39" t="s">
        <v>653</v>
      </c>
      <c r="Y20" s="39" t="s">
        <v>654</v>
      </c>
      <c r="Z20" s="36" t="s">
        <v>418</v>
      </c>
      <c r="AA20" s="36" t="s">
        <v>418</v>
      </c>
      <c r="AB20" s="39" t="s">
        <v>655</v>
      </c>
      <c r="AC20" s="40"/>
      <c r="AD20" s="36" t="s">
        <v>432</v>
      </c>
      <c r="AE20" s="36" t="s">
        <v>418</v>
      </c>
      <c r="AF20" s="36" t="s">
        <v>419</v>
      </c>
      <c r="AG20" s="36"/>
      <c r="AH20" s="36" t="s">
        <v>433</v>
      </c>
      <c r="AI20" s="36" t="s">
        <v>434</v>
      </c>
      <c r="AJ20" s="39" t="s">
        <v>656</v>
      </c>
    </row>
    <row r="21" customFormat="false" ht="42" hidden="false" customHeight="true" outlineLevel="0" collapsed="false">
      <c r="A21" s="36" t="s">
        <v>657</v>
      </c>
      <c r="B21" s="37" t="s">
        <v>658</v>
      </c>
      <c r="C21" s="37" t="s">
        <v>594</v>
      </c>
      <c r="D21" s="38" t="s">
        <v>659</v>
      </c>
      <c r="E21" s="37" t="s">
        <v>643</v>
      </c>
      <c r="F21" s="37" t="s">
        <v>644</v>
      </c>
      <c r="G21" s="36" t="s">
        <v>415</v>
      </c>
      <c r="H21" s="36" t="s">
        <v>438</v>
      </c>
      <c r="I21" s="38" t="s">
        <v>660</v>
      </c>
      <c r="J21" s="36" t="s">
        <v>53</v>
      </c>
      <c r="K21" s="36" t="s">
        <v>418</v>
      </c>
      <c r="L21" s="36" t="s">
        <v>419</v>
      </c>
      <c r="M21" s="36" t="s">
        <v>420</v>
      </c>
      <c r="N21" s="36" t="s">
        <v>440</v>
      </c>
      <c r="O21" s="38" t="s">
        <v>661</v>
      </c>
      <c r="P21" s="38" t="s">
        <v>662</v>
      </c>
      <c r="Q21" s="38" t="s">
        <v>663</v>
      </c>
      <c r="R21" s="38" t="s">
        <v>664</v>
      </c>
      <c r="S21" s="38" t="s">
        <v>665</v>
      </c>
      <c r="T21" s="38" t="s">
        <v>666</v>
      </c>
      <c r="U21" s="38" t="s">
        <v>667</v>
      </c>
      <c r="V21" s="36" t="n">
        <v>6</v>
      </c>
      <c r="W21" s="36" t="n">
        <v>0</v>
      </c>
      <c r="X21" s="39" t="s">
        <v>668</v>
      </c>
      <c r="Y21" s="39" t="s">
        <v>669</v>
      </c>
      <c r="Z21" s="36" t="s">
        <v>419</v>
      </c>
      <c r="AA21" s="36" t="s">
        <v>418</v>
      </c>
      <c r="AB21" s="39" t="s">
        <v>670</v>
      </c>
      <c r="AC21" s="40"/>
      <c r="AD21" s="36" t="s">
        <v>432</v>
      </c>
      <c r="AE21" s="36" t="s">
        <v>419</v>
      </c>
      <c r="AF21" s="36" t="s">
        <v>419</v>
      </c>
      <c r="AG21" s="36"/>
      <c r="AH21" s="36" t="s">
        <v>433</v>
      </c>
      <c r="AI21" s="36" t="s">
        <v>434</v>
      </c>
      <c r="AJ21" s="39" t="s">
        <v>656</v>
      </c>
    </row>
    <row r="22" customFormat="false" ht="42" hidden="false" customHeight="true" outlineLevel="0" collapsed="false">
      <c r="A22" s="41" t="s">
        <v>671</v>
      </c>
      <c r="B22" s="42" t="s">
        <v>672</v>
      </c>
      <c r="C22" s="42" t="s">
        <v>594</v>
      </c>
      <c r="D22" s="43" t="s">
        <v>629</v>
      </c>
      <c r="E22" s="42" t="s">
        <v>613</v>
      </c>
      <c r="F22" s="42" t="s">
        <v>614</v>
      </c>
      <c r="G22" s="41" t="s">
        <v>415</v>
      </c>
      <c r="H22" s="41" t="s">
        <v>438</v>
      </c>
      <c r="I22" s="43" t="s">
        <v>673</v>
      </c>
      <c r="J22" s="41" t="s">
        <v>53</v>
      </c>
      <c r="K22" s="41" t="s">
        <v>418</v>
      </c>
      <c r="L22" s="41" t="s">
        <v>419</v>
      </c>
      <c r="M22" s="41" t="s">
        <v>420</v>
      </c>
      <c r="N22" s="41" t="s">
        <v>440</v>
      </c>
      <c r="O22" s="43" t="s">
        <v>674</v>
      </c>
      <c r="P22" s="38" t="s">
        <v>675</v>
      </c>
      <c r="Q22" s="38" t="s">
        <v>676</v>
      </c>
      <c r="R22" s="38" t="s">
        <v>677</v>
      </c>
      <c r="S22" s="38" t="s">
        <v>678</v>
      </c>
      <c r="T22" s="38" t="s">
        <v>679</v>
      </c>
      <c r="U22" s="38" t="s">
        <v>680</v>
      </c>
      <c r="V22" s="36" t="n">
        <v>5</v>
      </c>
      <c r="W22" s="36" t="n">
        <v>0</v>
      </c>
      <c r="X22" s="39" t="s">
        <v>681</v>
      </c>
      <c r="Y22" s="39" t="s">
        <v>682</v>
      </c>
      <c r="Z22" s="36" t="s">
        <v>419</v>
      </c>
      <c r="AA22" s="36" t="s">
        <v>418</v>
      </c>
      <c r="AB22" s="39" t="s">
        <v>683</v>
      </c>
      <c r="AC22" s="40"/>
      <c r="AD22" s="36" t="s">
        <v>432</v>
      </c>
      <c r="AE22" s="36" t="s">
        <v>419</v>
      </c>
      <c r="AF22" s="36" t="s">
        <v>419</v>
      </c>
      <c r="AG22" s="36"/>
      <c r="AH22" s="36" t="s">
        <v>433</v>
      </c>
      <c r="AI22" s="36" t="s">
        <v>434</v>
      </c>
      <c r="AJ22" s="39" t="s">
        <v>639</v>
      </c>
    </row>
    <row r="23" customFormat="false" ht="42" hidden="false" customHeight="true" outlineLevel="0" collapsed="false">
      <c r="A23" s="36" t="s">
        <v>684</v>
      </c>
      <c r="B23" s="37" t="s">
        <v>685</v>
      </c>
      <c r="C23" s="37" t="s">
        <v>594</v>
      </c>
      <c r="D23" s="38" t="s">
        <v>686</v>
      </c>
      <c r="E23" s="37" t="s">
        <v>613</v>
      </c>
      <c r="F23" s="37" t="s">
        <v>614</v>
      </c>
      <c r="G23" s="36" t="s">
        <v>415</v>
      </c>
      <c r="H23" s="36" t="s">
        <v>468</v>
      </c>
      <c r="I23" s="38" t="s">
        <v>687</v>
      </c>
      <c r="J23" s="36" t="s">
        <v>53</v>
      </c>
      <c r="K23" s="36" t="s">
        <v>418</v>
      </c>
      <c r="L23" s="36" t="s">
        <v>418</v>
      </c>
      <c r="M23" s="36" t="s">
        <v>469</v>
      </c>
      <c r="N23" s="36" t="s">
        <v>470</v>
      </c>
      <c r="O23" s="38" t="s">
        <v>688</v>
      </c>
      <c r="P23" s="38" t="s">
        <v>689</v>
      </c>
      <c r="Q23" s="38" t="s">
        <v>690</v>
      </c>
      <c r="R23" s="38" t="s">
        <v>691</v>
      </c>
      <c r="S23" s="38" t="s">
        <v>692</v>
      </c>
      <c r="T23" s="38" t="s">
        <v>693</v>
      </c>
      <c r="U23" s="38" t="s">
        <v>694</v>
      </c>
      <c r="V23" s="36" t="n">
        <v>5</v>
      </c>
      <c r="W23" s="36" t="n">
        <v>0</v>
      </c>
      <c r="X23" s="39" t="s">
        <v>695</v>
      </c>
      <c r="Y23" s="39" t="s">
        <v>696</v>
      </c>
      <c r="Z23" s="36" t="s">
        <v>419</v>
      </c>
      <c r="AA23" s="36" t="s">
        <v>418</v>
      </c>
      <c r="AB23" s="39" t="s">
        <v>697</v>
      </c>
      <c r="AC23" s="40"/>
      <c r="AD23" s="36" t="s">
        <v>432</v>
      </c>
      <c r="AE23" s="36" t="s">
        <v>418</v>
      </c>
      <c r="AF23" s="36" t="s">
        <v>419</v>
      </c>
      <c r="AG23" s="36"/>
      <c r="AH23" s="36" t="s">
        <v>480</v>
      </c>
      <c r="AI23" s="36" t="s">
        <v>481</v>
      </c>
      <c r="AJ23" s="39" t="s">
        <v>639</v>
      </c>
    </row>
    <row r="24" customFormat="false" ht="42" hidden="false" customHeight="true" outlineLevel="0" collapsed="false">
      <c r="A24" s="41" t="s">
        <v>698</v>
      </c>
      <c r="B24" s="42" t="s">
        <v>699</v>
      </c>
      <c r="C24" s="42" t="s">
        <v>594</v>
      </c>
      <c r="D24" s="43" t="s">
        <v>700</v>
      </c>
      <c r="E24" s="42" t="s">
        <v>613</v>
      </c>
      <c r="F24" s="42" t="s">
        <v>614</v>
      </c>
      <c r="G24" s="41" t="s">
        <v>415</v>
      </c>
      <c r="H24" s="41" t="s">
        <v>438</v>
      </c>
      <c r="I24" s="43" t="s">
        <v>454</v>
      </c>
      <c r="J24" s="41" t="s">
        <v>53</v>
      </c>
      <c r="K24" s="41" t="s">
        <v>418</v>
      </c>
      <c r="L24" s="41" t="s">
        <v>419</v>
      </c>
      <c r="M24" s="41" t="s">
        <v>420</v>
      </c>
      <c r="N24" s="41" t="s">
        <v>440</v>
      </c>
      <c r="O24" s="43" t="s">
        <v>701</v>
      </c>
      <c r="P24" s="38" t="s">
        <v>702</v>
      </c>
      <c r="Q24" s="38" t="s">
        <v>703</v>
      </c>
      <c r="R24" s="38" t="s">
        <v>704</v>
      </c>
      <c r="S24" s="38" t="s">
        <v>705</v>
      </c>
      <c r="T24" s="38" t="s">
        <v>706</v>
      </c>
      <c r="U24" s="38" t="s">
        <v>707</v>
      </c>
      <c r="V24" s="36" t="n">
        <v>5</v>
      </c>
      <c r="W24" s="36" t="n">
        <v>1</v>
      </c>
      <c r="X24" s="39" t="s">
        <v>708</v>
      </c>
      <c r="Y24" s="39" t="s">
        <v>709</v>
      </c>
      <c r="Z24" s="36" t="s">
        <v>418</v>
      </c>
      <c r="AA24" s="36" t="s">
        <v>418</v>
      </c>
      <c r="AB24" s="39" t="s">
        <v>464</v>
      </c>
      <c r="AC24" s="40"/>
      <c r="AD24" s="36" t="s">
        <v>432</v>
      </c>
      <c r="AE24" s="36" t="s">
        <v>419</v>
      </c>
      <c r="AF24" s="36" t="s">
        <v>419</v>
      </c>
      <c r="AG24" s="36"/>
      <c r="AH24" s="36" t="s">
        <v>433</v>
      </c>
      <c r="AI24" s="36" t="s">
        <v>434</v>
      </c>
      <c r="AJ24" s="39" t="s">
        <v>639</v>
      </c>
    </row>
    <row r="25" customFormat="false" ht="42" hidden="false" customHeight="true" outlineLevel="0" collapsed="false">
      <c r="A25" s="36" t="s">
        <v>710</v>
      </c>
      <c r="B25" s="37" t="s">
        <v>711</v>
      </c>
      <c r="C25" s="37" t="s">
        <v>594</v>
      </c>
      <c r="D25" s="38" t="s">
        <v>712</v>
      </c>
      <c r="E25" s="37" t="s">
        <v>643</v>
      </c>
      <c r="F25" s="37" t="s">
        <v>644</v>
      </c>
      <c r="G25" s="36" t="s">
        <v>500</v>
      </c>
      <c r="H25" s="36" t="s">
        <v>78</v>
      </c>
      <c r="I25" s="38" t="s">
        <v>501</v>
      </c>
      <c r="J25" s="36" t="s">
        <v>417</v>
      </c>
      <c r="K25" s="36" t="s">
        <v>418</v>
      </c>
      <c r="L25" s="36" t="s">
        <v>419</v>
      </c>
      <c r="M25" s="36" t="s">
        <v>420</v>
      </c>
      <c r="N25" s="36" t="s">
        <v>440</v>
      </c>
      <c r="O25" s="38" t="s">
        <v>713</v>
      </c>
      <c r="P25" s="38" t="s">
        <v>714</v>
      </c>
      <c r="Q25" s="38" t="s">
        <v>715</v>
      </c>
      <c r="R25" s="38" t="s">
        <v>716</v>
      </c>
      <c r="S25" s="38" t="s">
        <v>717</v>
      </c>
      <c r="T25" s="38" t="s">
        <v>718</v>
      </c>
      <c r="U25" s="38" t="s">
        <v>719</v>
      </c>
      <c r="V25" s="36" t="n">
        <v>4</v>
      </c>
      <c r="W25" s="36" t="n">
        <v>0</v>
      </c>
      <c r="X25" s="39" t="s">
        <v>720</v>
      </c>
      <c r="Y25" s="39" t="s">
        <v>721</v>
      </c>
      <c r="Z25" s="36" t="s">
        <v>419</v>
      </c>
      <c r="AA25" s="36" t="s">
        <v>418</v>
      </c>
      <c r="AB25" s="39" t="s">
        <v>511</v>
      </c>
      <c r="AC25" s="40"/>
      <c r="AD25" s="36" t="s">
        <v>432</v>
      </c>
      <c r="AE25" s="36" t="s">
        <v>418</v>
      </c>
      <c r="AF25" s="36" t="s">
        <v>419</v>
      </c>
      <c r="AG25" s="36"/>
      <c r="AH25" s="36" t="s">
        <v>433</v>
      </c>
      <c r="AI25" s="36" t="s">
        <v>434</v>
      </c>
      <c r="AJ25" s="39" t="s">
        <v>656</v>
      </c>
    </row>
    <row r="26" customFormat="false" ht="42" hidden="false" customHeight="true" outlineLevel="0" collapsed="false">
      <c r="A26" s="41" t="s">
        <v>722</v>
      </c>
      <c r="B26" s="42" t="s">
        <v>723</v>
      </c>
      <c r="C26" s="42" t="s">
        <v>594</v>
      </c>
      <c r="D26" s="43" t="s">
        <v>724</v>
      </c>
      <c r="E26" s="42" t="s">
        <v>596</v>
      </c>
      <c r="F26" s="42" t="s">
        <v>597</v>
      </c>
      <c r="G26" s="41" t="s">
        <v>415</v>
      </c>
      <c r="H26" s="41" t="s">
        <v>78</v>
      </c>
      <c r="I26" s="43" t="s">
        <v>725</v>
      </c>
      <c r="J26" s="41" t="s">
        <v>417</v>
      </c>
      <c r="K26" s="41" t="s">
        <v>418</v>
      </c>
      <c r="L26" s="41" t="s">
        <v>419</v>
      </c>
      <c r="M26" s="41" t="s">
        <v>420</v>
      </c>
      <c r="N26" s="41" t="s">
        <v>421</v>
      </c>
      <c r="O26" s="43" t="s">
        <v>726</v>
      </c>
      <c r="P26" s="38" t="s">
        <v>727</v>
      </c>
      <c r="Q26" s="38" t="s">
        <v>728</v>
      </c>
      <c r="R26" s="38" t="s">
        <v>729</v>
      </c>
      <c r="S26" s="38" t="s">
        <v>730</v>
      </c>
      <c r="T26" s="38" t="s">
        <v>731</v>
      </c>
      <c r="U26" s="38" t="s">
        <v>732</v>
      </c>
      <c r="V26" s="36" t="n">
        <v>6</v>
      </c>
      <c r="W26" s="36" t="n">
        <v>1</v>
      </c>
      <c r="X26" s="39" t="s">
        <v>733</v>
      </c>
      <c r="Y26" s="39" t="s">
        <v>734</v>
      </c>
      <c r="Z26" s="36" t="s">
        <v>418</v>
      </c>
      <c r="AA26" s="36" t="s">
        <v>418</v>
      </c>
      <c r="AB26" s="39" t="s">
        <v>735</v>
      </c>
      <c r="AC26" s="40"/>
      <c r="AD26" s="36" t="s">
        <v>432</v>
      </c>
      <c r="AE26" s="36" t="s">
        <v>418</v>
      </c>
      <c r="AF26" s="36" t="s">
        <v>419</v>
      </c>
      <c r="AG26" s="36"/>
      <c r="AH26" s="36" t="s">
        <v>433</v>
      </c>
      <c r="AI26" s="36" t="s">
        <v>434</v>
      </c>
      <c r="AJ26" s="39" t="s">
        <v>609</v>
      </c>
    </row>
    <row r="27" customFormat="false" ht="42" hidden="false" customHeight="true" outlineLevel="0" collapsed="false">
      <c r="A27" s="36" t="s">
        <v>736</v>
      </c>
      <c r="B27" s="37" t="s">
        <v>737</v>
      </c>
      <c r="C27" s="37" t="s">
        <v>594</v>
      </c>
      <c r="D27" s="38" t="s">
        <v>659</v>
      </c>
      <c r="E27" s="37" t="s">
        <v>643</v>
      </c>
      <c r="F27" s="37" t="s">
        <v>644</v>
      </c>
      <c r="G27" s="36" t="s">
        <v>415</v>
      </c>
      <c r="H27" s="36" t="s">
        <v>468</v>
      </c>
      <c r="I27" s="38" t="s">
        <v>738</v>
      </c>
      <c r="J27" s="36" t="s">
        <v>53</v>
      </c>
      <c r="K27" s="36" t="s">
        <v>418</v>
      </c>
      <c r="L27" s="36" t="s">
        <v>419</v>
      </c>
      <c r="M27" s="36" t="s">
        <v>420</v>
      </c>
      <c r="N27" s="36" t="s">
        <v>470</v>
      </c>
      <c r="O27" s="38" t="s">
        <v>739</v>
      </c>
      <c r="P27" s="38" t="s">
        <v>740</v>
      </c>
      <c r="Q27" s="38" t="s">
        <v>741</v>
      </c>
      <c r="R27" s="38" t="s">
        <v>742</v>
      </c>
      <c r="S27" s="38" t="s">
        <v>743</v>
      </c>
      <c r="T27" s="38" t="s">
        <v>744</v>
      </c>
      <c r="U27" s="38" t="s">
        <v>745</v>
      </c>
      <c r="V27" s="36" t="n">
        <v>5</v>
      </c>
      <c r="W27" s="36" t="n">
        <v>0</v>
      </c>
      <c r="X27" s="39" t="s">
        <v>746</v>
      </c>
      <c r="Y27" s="39" t="s">
        <v>747</v>
      </c>
      <c r="Z27" s="36" t="s">
        <v>419</v>
      </c>
      <c r="AA27" s="36" t="s">
        <v>418</v>
      </c>
      <c r="AB27" s="39" t="s">
        <v>748</v>
      </c>
      <c r="AC27" s="40"/>
      <c r="AD27" s="36" t="s">
        <v>432</v>
      </c>
      <c r="AE27" s="36" t="s">
        <v>418</v>
      </c>
      <c r="AF27" s="36" t="s">
        <v>419</v>
      </c>
      <c r="AG27" s="36"/>
      <c r="AH27" s="36" t="s">
        <v>433</v>
      </c>
      <c r="AI27" s="36" t="s">
        <v>434</v>
      </c>
      <c r="AJ27" s="39" t="s">
        <v>656</v>
      </c>
    </row>
    <row r="28" customFormat="false" ht="42" hidden="false" customHeight="true" outlineLevel="0" collapsed="false">
      <c r="A28" s="41" t="s">
        <v>749</v>
      </c>
      <c r="B28" s="42" t="s">
        <v>750</v>
      </c>
      <c r="C28" s="42" t="s">
        <v>751</v>
      </c>
      <c r="D28" s="43" t="s">
        <v>752</v>
      </c>
      <c r="E28" s="42" t="s">
        <v>526</v>
      </c>
      <c r="F28" s="42" t="s">
        <v>753</v>
      </c>
      <c r="G28" s="41" t="s">
        <v>415</v>
      </c>
      <c r="H28" s="41" t="s">
        <v>78</v>
      </c>
      <c r="I28" s="43" t="s">
        <v>615</v>
      </c>
      <c r="J28" s="41" t="s">
        <v>417</v>
      </c>
      <c r="K28" s="41" t="s">
        <v>418</v>
      </c>
      <c r="L28" s="41" t="s">
        <v>419</v>
      </c>
      <c r="M28" s="41" t="s">
        <v>420</v>
      </c>
      <c r="N28" s="41" t="s">
        <v>421</v>
      </c>
      <c r="O28" s="43" t="s">
        <v>754</v>
      </c>
      <c r="P28" s="38" t="s">
        <v>755</v>
      </c>
      <c r="Q28" s="38" t="s">
        <v>756</v>
      </c>
      <c r="R28" s="38" t="s">
        <v>757</v>
      </c>
      <c r="S28" s="38" t="s">
        <v>758</v>
      </c>
      <c r="T28" s="38" t="s">
        <v>759</v>
      </c>
      <c r="U28" s="38" t="s">
        <v>760</v>
      </c>
      <c r="V28" s="36" t="n">
        <v>5</v>
      </c>
      <c r="W28" s="36" t="n">
        <v>1</v>
      </c>
      <c r="X28" s="39" t="s">
        <v>761</v>
      </c>
      <c r="Y28" s="39" t="s">
        <v>762</v>
      </c>
      <c r="Z28" s="36" t="s">
        <v>418</v>
      </c>
      <c r="AA28" s="36" t="s">
        <v>418</v>
      </c>
      <c r="AB28" s="39" t="s">
        <v>625</v>
      </c>
      <c r="AC28" s="40"/>
      <c r="AD28" s="36" t="s">
        <v>432</v>
      </c>
      <c r="AE28" s="36" t="s">
        <v>418</v>
      </c>
      <c r="AF28" s="36" t="s">
        <v>419</v>
      </c>
      <c r="AG28" s="36"/>
      <c r="AH28" s="36" t="s">
        <v>433</v>
      </c>
      <c r="AI28" s="36" t="s">
        <v>434</v>
      </c>
      <c r="AJ28" s="39" t="s">
        <v>763</v>
      </c>
    </row>
    <row r="29" customFormat="false" ht="42" hidden="false" customHeight="true" outlineLevel="0" collapsed="false">
      <c r="A29" s="36" t="s">
        <v>764</v>
      </c>
      <c r="B29" s="37" t="s">
        <v>765</v>
      </c>
      <c r="C29" s="37" t="s">
        <v>751</v>
      </c>
      <c r="D29" s="38" t="s">
        <v>752</v>
      </c>
      <c r="E29" s="37" t="s">
        <v>526</v>
      </c>
      <c r="F29" s="37" t="s">
        <v>753</v>
      </c>
      <c r="G29" s="36" t="s">
        <v>415</v>
      </c>
      <c r="H29" s="36" t="s">
        <v>438</v>
      </c>
      <c r="I29" s="38" t="s">
        <v>439</v>
      </c>
      <c r="J29" s="36" t="s">
        <v>53</v>
      </c>
      <c r="K29" s="36" t="s">
        <v>418</v>
      </c>
      <c r="L29" s="36" t="s">
        <v>419</v>
      </c>
      <c r="M29" s="36" t="s">
        <v>420</v>
      </c>
      <c r="N29" s="36" t="s">
        <v>440</v>
      </c>
      <c r="O29" s="38" t="s">
        <v>766</v>
      </c>
      <c r="P29" s="38" t="s">
        <v>767</v>
      </c>
      <c r="Q29" s="38" t="s">
        <v>768</v>
      </c>
      <c r="R29" s="38" t="s">
        <v>769</v>
      </c>
      <c r="S29" s="38" t="s">
        <v>770</v>
      </c>
      <c r="T29" s="38" t="s">
        <v>771</v>
      </c>
      <c r="U29" s="38" t="s">
        <v>772</v>
      </c>
      <c r="V29" s="36" t="n">
        <v>5</v>
      </c>
      <c r="W29" s="36" t="n">
        <v>1</v>
      </c>
      <c r="X29" s="39" t="s">
        <v>773</v>
      </c>
      <c r="Y29" s="39" t="s">
        <v>774</v>
      </c>
      <c r="Z29" s="36" t="s">
        <v>418</v>
      </c>
      <c r="AA29" s="36" t="s">
        <v>418</v>
      </c>
      <c r="AB29" s="39" t="s">
        <v>450</v>
      </c>
      <c r="AC29" s="40"/>
      <c r="AD29" s="36" t="s">
        <v>432</v>
      </c>
      <c r="AE29" s="36" t="s">
        <v>419</v>
      </c>
      <c r="AF29" s="36" t="s">
        <v>419</v>
      </c>
      <c r="AG29" s="36"/>
      <c r="AH29" s="36" t="s">
        <v>433</v>
      </c>
      <c r="AI29" s="36" t="s">
        <v>434</v>
      </c>
      <c r="AJ29" s="39" t="s">
        <v>539</v>
      </c>
    </row>
    <row r="30" customFormat="false" ht="42" hidden="false" customHeight="true" outlineLevel="0" collapsed="false">
      <c r="A30" s="41" t="s">
        <v>775</v>
      </c>
      <c r="B30" s="42" t="s">
        <v>776</v>
      </c>
      <c r="C30" s="42" t="s">
        <v>751</v>
      </c>
      <c r="D30" s="43" t="s">
        <v>777</v>
      </c>
      <c r="E30" s="42" t="s">
        <v>500</v>
      </c>
      <c r="F30" s="42" t="s">
        <v>778</v>
      </c>
      <c r="G30" s="41" t="s">
        <v>500</v>
      </c>
      <c r="H30" s="41" t="s">
        <v>438</v>
      </c>
      <c r="I30" s="43" t="s">
        <v>779</v>
      </c>
      <c r="J30" s="41" t="s">
        <v>53</v>
      </c>
      <c r="K30" s="41" t="s">
        <v>418</v>
      </c>
      <c r="L30" s="41" t="s">
        <v>419</v>
      </c>
      <c r="M30" s="41" t="s">
        <v>420</v>
      </c>
      <c r="N30" s="41" t="s">
        <v>440</v>
      </c>
      <c r="O30" s="43" t="s">
        <v>780</v>
      </c>
      <c r="P30" s="38" t="s">
        <v>781</v>
      </c>
      <c r="Q30" s="38" t="s">
        <v>782</v>
      </c>
      <c r="R30" s="38" t="s">
        <v>783</v>
      </c>
      <c r="S30" s="38" t="s">
        <v>784</v>
      </c>
      <c r="T30" s="38" t="s">
        <v>785</v>
      </c>
      <c r="U30" s="38" t="s">
        <v>786</v>
      </c>
      <c r="V30" s="36" t="n">
        <v>4</v>
      </c>
      <c r="W30" s="36" t="n">
        <v>0</v>
      </c>
      <c r="X30" s="39" t="s">
        <v>787</v>
      </c>
      <c r="Y30" s="39" t="s">
        <v>788</v>
      </c>
      <c r="Z30" s="36" t="s">
        <v>419</v>
      </c>
      <c r="AA30" s="36" t="s">
        <v>418</v>
      </c>
      <c r="AB30" s="39" t="s">
        <v>789</v>
      </c>
      <c r="AC30" s="40"/>
      <c r="AD30" s="36" t="s">
        <v>432</v>
      </c>
      <c r="AE30" s="36" t="s">
        <v>418</v>
      </c>
      <c r="AF30" s="36" t="s">
        <v>419</v>
      </c>
      <c r="AG30" s="36"/>
      <c r="AH30" s="36" t="s">
        <v>433</v>
      </c>
      <c r="AI30" s="36" t="s">
        <v>434</v>
      </c>
      <c r="AJ30" s="39" t="s">
        <v>790</v>
      </c>
    </row>
    <row r="31" customFormat="false" ht="42" hidden="false" customHeight="true" outlineLevel="0" collapsed="false">
      <c r="A31" s="36" t="s">
        <v>791</v>
      </c>
      <c r="B31" s="37" t="s">
        <v>792</v>
      </c>
      <c r="C31" s="37" t="s">
        <v>751</v>
      </c>
      <c r="D31" s="38" t="s">
        <v>777</v>
      </c>
      <c r="E31" s="37" t="s">
        <v>500</v>
      </c>
      <c r="F31" s="37" t="s">
        <v>778</v>
      </c>
      <c r="G31" s="36" t="s">
        <v>500</v>
      </c>
      <c r="H31" s="36" t="s">
        <v>78</v>
      </c>
      <c r="I31" s="38" t="s">
        <v>501</v>
      </c>
      <c r="J31" s="36" t="s">
        <v>417</v>
      </c>
      <c r="K31" s="36" t="s">
        <v>419</v>
      </c>
      <c r="L31" s="36" t="s">
        <v>419</v>
      </c>
      <c r="M31" s="36" t="s">
        <v>420</v>
      </c>
      <c r="N31" s="36" t="s">
        <v>440</v>
      </c>
      <c r="O31" s="38" t="s">
        <v>793</v>
      </c>
      <c r="P31" s="38" t="s">
        <v>794</v>
      </c>
      <c r="Q31" s="38" t="s">
        <v>795</v>
      </c>
      <c r="R31" s="38" t="s">
        <v>796</v>
      </c>
      <c r="S31" s="38" t="s">
        <v>797</v>
      </c>
      <c r="T31" s="38" t="s">
        <v>798</v>
      </c>
      <c r="U31" s="38" t="s">
        <v>799</v>
      </c>
      <c r="V31" s="36" t="n">
        <v>4</v>
      </c>
      <c r="W31" s="36" t="n">
        <v>0</v>
      </c>
      <c r="X31" s="39" t="s">
        <v>800</v>
      </c>
      <c r="Y31" s="39" t="s">
        <v>801</v>
      </c>
      <c r="Z31" s="36" t="s">
        <v>419</v>
      </c>
      <c r="AA31" s="36" t="s">
        <v>418</v>
      </c>
      <c r="AB31" s="39" t="s">
        <v>511</v>
      </c>
      <c r="AC31" s="40"/>
      <c r="AD31" s="36" t="s">
        <v>432</v>
      </c>
      <c r="AE31" s="36" t="s">
        <v>418</v>
      </c>
      <c r="AF31" s="36" t="s">
        <v>419</v>
      </c>
      <c r="AG31" s="36"/>
      <c r="AH31" s="36" t="s">
        <v>433</v>
      </c>
      <c r="AI31" s="36" t="s">
        <v>434</v>
      </c>
      <c r="AJ31" s="39" t="s">
        <v>790</v>
      </c>
    </row>
    <row r="32" customFormat="false" ht="42" hidden="false" customHeight="true" outlineLevel="0" collapsed="false">
      <c r="A32" s="41" t="s">
        <v>802</v>
      </c>
      <c r="B32" s="42" t="s">
        <v>803</v>
      </c>
      <c r="C32" s="42" t="s">
        <v>751</v>
      </c>
      <c r="D32" s="43" t="s">
        <v>804</v>
      </c>
      <c r="E32" s="42" t="s">
        <v>613</v>
      </c>
      <c r="F32" s="42" t="s">
        <v>805</v>
      </c>
      <c r="G32" s="41" t="s">
        <v>500</v>
      </c>
      <c r="H32" s="41" t="s">
        <v>438</v>
      </c>
      <c r="I32" s="43" t="s">
        <v>806</v>
      </c>
      <c r="J32" s="41" t="s">
        <v>53</v>
      </c>
      <c r="K32" s="41" t="s">
        <v>418</v>
      </c>
      <c r="L32" s="41" t="s">
        <v>419</v>
      </c>
      <c r="M32" s="41" t="s">
        <v>420</v>
      </c>
      <c r="N32" s="41" t="s">
        <v>470</v>
      </c>
      <c r="O32" s="43" t="s">
        <v>807</v>
      </c>
      <c r="P32" s="38" t="s">
        <v>808</v>
      </c>
      <c r="Q32" s="38" t="s">
        <v>809</v>
      </c>
      <c r="R32" s="38" t="s">
        <v>810</v>
      </c>
      <c r="S32" s="38" t="s">
        <v>811</v>
      </c>
      <c r="T32" s="38" t="s">
        <v>812</v>
      </c>
      <c r="U32" s="38" t="s">
        <v>813</v>
      </c>
      <c r="V32" s="36" t="n">
        <v>3</v>
      </c>
      <c r="W32" s="36" t="n">
        <v>0</v>
      </c>
      <c r="X32" s="39" t="s">
        <v>814</v>
      </c>
      <c r="Y32" s="39" t="s">
        <v>815</v>
      </c>
      <c r="Z32" s="36" t="s">
        <v>419</v>
      </c>
      <c r="AA32" s="36" t="s">
        <v>418</v>
      </c>
      <c r="AB32" s="39" t="s">
        <v>816</v>
      </c>
      <c r="AC32" s="40"/>
      <c r="AD32" s="36" t="s">
        <v>432</v>
      </c>
      <c r="AE32" s="36" t="s">
        <v>418</v>
      </c>
      <c r="AF32" s="36" t="s">
        <v>419</v>
      </c>
      <c r="AG32" s="36"/>
      <c r="AH32" s="36" t="s">
        <v>433</v>
      </c>
      <c r="AI32" s="36" t="s">
        <v>434</v>
      </c>
      <c r="AJ32" s="39" t="s">
        <v>639</v>
      </c>
    </row>
    <row r="33" customFormat="false" ht="42" hidden="false" customHeight="true" outlineLevel="0" collapsed="false">
      <c r="A33" s="36" t="s">
        <v>817</v>
      </c>
      <c r="B33" s="37" t="s">
        <v>818</v>
      </c>
      <c r="C33" s="37" t="s">
        <v>751</v>
      </c>
      <c r="D33" s="38" t="s">
        <v>819</v>
      </c>
      <c r="E33" s="37" t="s">
        <v>613</v>
      </c>
      <c r="F33" s="37" t="s">
        <v>805</v>
      </c>
      <c r="G33" s="36" t="s">
        <v>500</v>
      </c>
      <c r="H33" s="36" t="s">
        <v>78</v>
      </c>
      <c r="I33" s="38" t="s">
        <v>820</v>
      </c>
      <c r="J33" s="36" t="s">
        <v>53</v>
      </c>
      <c r="K33" s="36" t="s">
        <v>418</v>
      </c>
      <c r="L33" s="36" t="s">
        <v>419</v>
      </c>
      <c r="M33" s="36" t="s">
        <v>420</v>
      </c>
      <c r="N33" s="36" t="s">
        <v>470</v>
      </c>
      <c r="O33" s="38" t="s">
        <v>821</v>
      </c>
      <c r="P33" s="38" t="s">
        <v>822</v>
      </c>
      <c r="Q33" s="38" t="s">
        <v>823</v>
      </c>
      <c r="R33" s="38" t="s">
        <v>824</v>
      </c>
      <c r="S33" s="38" t="s">
        <v>825</v>
      </c>
      <c r="T33" s="38" t="s">
        <v>826</v>
      </c>
      <c r="U33" s="38" t="s">
        <v>827</v>
      </c>
      <c r="V33" s="36" t="n">
        <v>3</v>
      </c>
      <c r="W33" s="36" t="n">
        <v>0</v>
      </c>
      <c r="X33" s="39" t="s">
        <v>828</v>
      </c>
      <c r="Y33" s="39" t="s">
        <v>829</v>
      </c>
      <c r="Z33" s="36" t="s">
        <v>419</v>
      </c>
      <c r="AA33" s="36" t="s">
        <v>418</v>
      </c>
      <c r="AB33" s="39" t="s">
        <v>830</v>
      </c>
      <c r="AC33" s="40"/>
      <c r="AD33" s="36" t="s">
        <v>432</v>
      </c>
      <c r="AE33" s="36" t="s">
        <v>418</v>
      </c>
      <c r="AF33" s="36" t="s">
        <v>419</v>
      </c>
      <c r="AG33" s="36"/>
      <c r="AH33" s="36" t="s">
        <v>433</v>
      </c>
      <c r="AI33" s="36" t="s">
        <v>434</v>
      </c>
      <c r="AJ33" s="39" t="s">
        <v>639</v>
      </c>
    </row>
    <row r="34" customFormat="false" ht="42" hidden="false" customHeight="true" outlineLevel="0" collapsed="false">
      <c r="A34" s="41" t="s">
        <v>831</v>
      </c>
      <c r="B34" s="42" t="s">
        <v>832</v>
      </c>
      <c r="C34" s="42" t="s">
        <v>751</v>
      </c>
      <c r="D34" s="43" t="s">
        <v>833</v>
      </c>
      <c r="E34" s="42" t="s">
        <v>526</v>
      </c>
      <c r="F34" s="42" t="s">
        <v>753</v>
      </c>
      <c r="G34" s="41" t="s">
        <v>415</v>
      </c>
      <c r="H34" s="41" t="s">
        <v>438</v>
      </c>
      <c r="I34" s="43" t="s">
        <v>779</v>
      </c>
      <c r="J34" s="41" t="s">
        <v>417</v>
      </c>
      <c r="K34" s="41" t="s">
        <v>418</v>
      </c>
      <c r="L34" s="41" t="s">
        <v>419</v>
      </c>
      <c r="M34" s="41" t="s">
        <v>420</v>
      </c>
      <c r="N34" s="41" t="s">
        <v>440</v>
      </c>
      <c r="O34" s="43" t="s">
        <v>834</v>
      </c>
      <c r="P34" s="38" t="s">
        <v>835</v>
      </c>
      <c r="Q34" s="38" t="s">
        <v>836</v>
      </c>
      <c r="R34" s="38" t="s">
        <v>837</v>
      </c>
      <c r="S34" s="38" t="s">
        <v>838</v>
      </c>
      <c r="T34" s="38" t="s">
        <v>839</v>
      </c>
      <c r="U34" s="38" t="s">
        <v>840</v>
      </c>
      <c r="V34" s="36" t="n">
        <v>5</v>
      </c>
      <c r="W34" s="36" t="n">
        <v>1</v>
      </c>
      <c r="X34" s="39" t="s">
        <v>761</v>
      </c>
      <c r="Y34" s="39" t="s">
        <v>841</v>
      </c>
      <c r="Z34" s="36" t="s">
        <v>418</v>
      </c>
      <c r="AA34" s="36" t="s">
        <v>418</v>
      </c>
      <c r="AB34" s="39" t="s">
        <v>789</v>
      </c>
      <c r="AC34" s="40"/>
      <c r="AD34" s="36" t="s">
        <v>432</v>
      </c>
      <c r="AE34" s="36" t="s">
        <v>418</v>
      </c>
      <c r="AF34" s="36" t="s">
        <v>419</v>
      </c>
      <c r="AG34" s="36"/>
      <c r="AH34" s="36" t="s">
        <v>433</v>
      </c>
      <c r="AI34" s="36" t="s">
        <v>434</v>
      </c>
      <c r="AJ34" s="39" t="s">
        <v>539</v>
      </c>
    </row>
    <row r="35" customFormat="false" ht="42" hidden="false" customHeight="true" outlineLevel="0" collapsed="false">
      <c r="A35" s="36" t="s">
        <v>842</v>
      </c>
      <c r="B35" s="37" t="s">
        <v>843</v>
      </c>
      <c r="C35" s="37" t="s">
        <v>751</v>
      </c>
      <c r="D35" s="38" t="s">
        <v>844</v>
      </c>
      <c r="E35" s="37" t="s">
        <v>526</v>
      </c>
      <c r="F35" s="37" t="s">
        <v>753</v>
      </c>
      <c r="G35" s="36" t="s">
        <v>415</v>
      </c>
      <c r="H35" s="36" t="s">
        <v>468</v>
      </c>
      <c r="I35" s="38" t="s">
        <v>87</v>
      </c>
      <c r="J35" s="36" t="s">
        <v>417</v>
      </c>
      <c r="K35" s="36" t="s">
        <v>418</v>
      </c>
      <c r="L35" s="36" t="s">
        <v>418</v>
      </c>
      <c r="M35" s="36" t="s">
        <v>469</v>
      </c>
      <c r="N35" s="36" t="s">
        <v>470</v>
      </c>
      <c r="O35" s="38" t="s">
        <v>845</v>
      </c>
      <c r="P35" s="38" t="s">
        <v>846</v>
      </c>
      <c r="Q35" s="38" t="s">
        <v>847</v>
      </c>
      <c r="R35" s="38" t="s">
        <v>848</v>
      </c>
      <c r="S35" s="38" t="s">
        <v>849</v>
      </c>
      <c r="T35" s="38" t="s">
        <v>850</v>
      </c>
      <c r="U35" s="38" t="s">
        <v>851</v>
      </c>
      <c r="V35" s="36" t="n">
        <v>5</v>
      </c>
      <c r="W35" s="36" t="n">
        <v>0</v>
      </c>
      <c r="X35" s="39" t="s">
        <v>852</v>
      </c>
      <c r="Y35" s="39" t="s">
        <v>853</v>
      </c>
      <c r="Z35" s="36" t="s">
        <v>419</v>
      </c>
      <c r="AA35" s="36" t="s">
        <v>418</v>
      </c>
      <c r="AB35" s="39" t="s">
        <v>26</v>
      </c>
      <c r="AC35" s="40"/>
      <c r="AD35" s="36" t="s">
        <v>432</v>
      </c>
      <c r="AE35" s="36" t="s">
        <v>418</v>
      </c>
      <c r="AF35" s="36" t="s">
        <v>419</v>
      </c>
      <c r="AG35" s="36"/>
      <c r="AH35" s="36" t="s">
        <v>480</v>
      </c>
      <c r="AI35" s="36" t="s">
        <v>481</v>
      </c>
      <c r="AJ35" s="39" t="s">
        <v>539</v>
      </c>
    </row>
    <row r="36" customFormat="false" ht="42" hidden="false" customHeight="true" outlineLevel="0" collapsed="false">
      <c r="A36" s="41" t="s">
        <v>854</v>
      </c>
      <c r="B36" s="42" t="s">
        <v>855</v>
      </c>
      <c r="C36" s="42" t="s">
        <v>751</v>
      </c>
      <c r="D36" s="43" t="s">
        <v>777</v>
      </c>
      <c r="E36" s="42" t="s">
        <v>500</v>
      </c>
      <c r="F36" s="42" t="s">
        <v>778</v>
      </c>
      <c r="G36" s="41" t="s">
        <v>500</v>
      </c>
      <c r="H36" s="41" t="s">
        <v>468</v>
      </c>
      <c r="I36" s="43" t="s">
        <v>856</v>
      </c>
      <c r="J36" s="41" t="s">
        <v>53</v>
      </c>
      <c r="K36" s="41" t="s">
        <v>419</v>
      </c>
      <c r="L36" s="41" t="s">
        <v>419</v>
      </c>
      <c r="M36" s="41" t="s">
        <v>420</v>
      </c>
      <c r="N36" s="41" t="s">
        <v>470</v>
      </c>
      <c r="O36" s="43" t="s">
        <v>857</v>
      </c>
      <c r="P36" s="38" t="s">
        <v>858</v>
      </c>
      <c r="Q36" s="38" t="s">
        <v>859</v>
      </c>
      <c r="R36" s="38" t="s">
        <v>860</v>
      </c>
      <c r="S36" s="38" t="s">
        <v>861</v>
      </c>
      <c r="T36" s="38" t="s">
        <v>862</v>
      </c>
      <c r="U36" s="38" t="s">
        <v>863</v>
      </c>
      <c r="V36" s="36" t="n">
        <v>4</v>
      </c>
      <c r="W36" s="36" t="n">
        <v>0</v>
      </c>
      <c r="X36" s="39" t="s">
        <v>800</v>
      </c>
      <c r="Y36" s="39" t="s">
        <v>864</v>
      </c>
      <c r="Z36" s="36" t="s">
        <v>419</v>
      </c>
      <c r="AA36" s="36" t="s">
        <v>418</v>
      </c>
      <c r="AB36" s="39" t="s">
        <v>865</v>
      </c>
      <c r="AC36" s="40"/>
      <c r="AD36" s="36" t="s">
        <v>432</v>
      </c>
      <c r="AE36" s="36" t="s">
        <v>418</v>
      </c>
      <c r="AF36" s="36" t="s">
        <v>419</v>
      </c>
      <c r="AG36" s="36"/>
      <c r="AH36" s="36" t="s">
        <v>433</v>
      </c>
      <c r="AI36" s="36" t="s">
        <v>434</v>
      </c>
      <c r="AJ36" s="39" t="s">
        <v>790</v>
      </c>
    </row>
    <row r="37" customFormat="false" ht="42" hidden="false" customHeight="true" outlineLevel="0" collapsed="false">
      <c r="A37" s="36" t="s">
        <v>866</v>
      </c>
      <c r="B37" s="37" t="s">
        <v>867</v>
      </c>
      <c r="C37" s="37" t="s">
        <v>751</v>
      </c>
      <c r="D37" s="38" t="s">
        <v>868</v>
      </c>
      <c r="E37" s="37" t="s">
        <v>613</v>
      </c>
      <c r="F37" s="37" t="s">
        <v>805</v>
      </c>
      <c r="G37" s="36" t="s">
        <v>500</v>
      </c>
      <c r="H37" s="36" t="s">
        <v>468</v>
      </c>
      <c r="I37" s="38" t="s">
        <v>87</v>
      </c>
      <c r="J37" s="36" t="s">
        <v>53</v>
      </c>
      <c r="K37" s="36" t="s">
        <v>418</v>
      </c>
      <c r="L37" s="36" t="s">
        <v>418</v>
      </c>
      <c r="M37" s="36" t="s">
        <v>469</v>
      </c>
      <c r="N37" s="36" t="s">
        <v>470</v>
      </c>
      <c r="O37" s="38" t="s">
        <v>869</v>
      </c>
      <c r="P37" s="38" t="s">
        <v>870</v>
      </c>
      <c r="Q37" s="38" t="s">
        <v>871</v>
      </c>
      <c r="R37" s="38" t="s">
        <v>872</v>
      </c>
      <c r="S37" s="38" t="s">
        <v>873</v>
      </c>
      <c r="T37" s="38" t="s">
        <v>874</v>
      </c>
      <c r="U37" s="38" t="s">
        <v>875</v>
      </c>
      <c r="V37" s="36" t="n">
        <v>3</v>
      </c>
      <c r="W37" s="36" t="n">
        <v>0</v>
      </c>
      <c r="X37" s="39" t="s">
        <v>814</v>
      </c>
      <c r="Y37" s="39" t="s">
        <v>876</v>
      </c>
      <c r="Z37" s="36" t="s">
        <v>419</v>
      </c>
      <c r="AA37" s="36" t="s">
        <v>418</v>
      </c>
      <c r="AB37" s="39" t="s">
        <v>26</v>
      </c>
      <c r="AC37" s="40"/>
      <c r="AD37" s="36" t="s">
        <v>432</v>
      </c>
      <c r="AE37" s="36" t="s">
        <v>419</v>
      </c>
      <c r="AF37" s="36" t="s">
        <v>419</v>
      </c>
      <c r="AG37" s="36"/>
      <c r="AH37" s="36" t="s">
        <v>480</v>
      </c>
      <c r="AI37" s="36" t="s">
        <v>481</v>
      </c>
      <c r="AJ37" s="39" t="s">
        <v>639</v>
      </c>
    </row>
    <row r="38" customFormat="false" ht="42" hidden="false" customHeight="true" outlineLevel="0" collapsed="false">
      <c r="A38" s="41" t="s">
        <v>877</v>
      </c>
      <c r="B38" s="42" t="s">
        <v>878</v>
      </c>
      <c r="C38" s="42" t="s">
        <v>879</v>
      </c>
      <c r="D38" s="43" t="s">
        <v>880</v>
      </c>
      <c r="E38" s="42" t="s">
        <v>881</v>
      </c>
      <c r="F38" s="42" t="s">
        <v>882</v>
      </c>
      <c r="G38" s="41" t="s">
        <v>415</v>
      </c>
      <c r="H38" s="41" t="s">
        <v>78</v>
      </c>
      <c r="I38" s="43" t="s">
        <v>725</v>
      </c>
      <c r="J38" s="41" t="s">
        <v>417</v>
      </c>
      <c r="K38" s="41" t="s">
        <v>418</v>
      </c>
      <c r="L38" s="41" t="s">
        <v>419</v>
      </c>
      <c r="M38" s="41" t="s">
        <v>420</v>
      </c>
      <c r="N38" s="41" t="s">
        <v>421</v>
      </c>
      <c r="O38" s="43" t="s">
        <v>883</v>
      </c>
      <c r="P38" s="38" t="s">
        <v>884</v>
      </c>
      <c r="Q38" s="38" t="s">
        <v>885</v>
      </c>
      <c r="R38" s="38" t="s">
        <v>886</v>
      </c>
      <c r="S38" s="38" t="s">
        <v>887</v>
      </c>
      <c r="T38" s="38" t="s">
        <v>888</v>
      </c>
      <c r="U38" s="38" t="s">
        <v>889</v>
      </c>
      <c r="V38" s="36" t="n">
        <v>8</v>
      </c>
      <c r="W38" s="36" t="n">
        <v>1</v>
      </c>
      <c r="X38" s="39" t="s">
        <v>890</v>
      </c>
      <c r="Y38" s="39" t="s">
        <v>891</v>
      </c>
      <c r="Z38" s="36" t="s">
        <v>418</v>
      </c>
      <c r="AA38" s="36" t="s">
        <v>419</v>
      </c>
      <c r="AB38" s="39" t="s">
        <v>735</v>
      </c>
      <c r="AC38" s="40"/>
      <c r="AD38" s="36" t="s">
        <v>432</v>
      </c>
      <c r="AE38" s="36" t="s">
        <v>418</v>
      </c>
      <c r="AF38" s="36" t="s">
        <v>419</v>
      </c>
      <c r="AG38" s="36"/>
      <c r="AH38" s="36" t="s">
        <v>433</v>
      </c>
      <c r="AI38" s="36" t="s">
        <v>434</v>
      </c>
      <c r="AJ38" s="39" t="s">
        <v>892</v>
      </c>
    </row>
    <row r="39" customFormat="false" ht="42" hidden="false" customHeight="true" outlineLevel="0" collapsed="false">
      <c r="A39" s="36" t="s">
        <v>893</v>
      </c>
      <c r="B39" s="37" t="s">
        <v>894</v>
      </c>
      <c r="C39" s="37" t="s">
        <v>879</v>
      </c>
      <c r="D39" s="38" t="s">
        <v>895</v>
      </c>
      <c r="E39" s="37" t="s">
        <v>881</v>
      </c>
      <c r="F39" s="37" t="s">
        <v>882</v>
      </c>
      <c r="G39" s="36" t="s">
        <v>415</v>
      </c>
      <c r="H39" s="36" t="s">
        <v>438</v>
      </c>
      <c r="I39" s="38" t="s">
        <v>896</v>
      </c>
      <c r="J39" s="36" t="s">
        <v>53</v>
      </c>
      <c r="K39" s="36" t="s">
        <v>418</v>
      </c>
      <c r="L39" s="36" t="s">
        <v>419</v>
      </c>
      <c r="M39" s="36" t="s">
        <v>420</v>
      </c>
      <c r="N39" s="36" t="s">
        <v>470</v>
      </c>
      <c r="O39" s="38" t="s">
        <v>897</v>
      </c>
      <c r="P39" s="38" t="s">
        <v>898</v>
      </c>
      <c r="Q39" s="38" t="s">
        <v>899</v>
      </c>
      <c r="R39" s="38" t="s">
        <v>900</v>
      </c>
      <c r="S39" s="38" t="s">
        <v>901</v>
      </c>
      <c r="T39" s="38" t="s">
        <v>902</v>
      </c>
      <c r="U39" s="38" t="s">
        <v>903</v>
      </c>
      <c r="V39" s="36" t="n">
        <v>6</v>
      </c>
      <c r="W39" s="36" t="n">
        <v>1</v>
      </c>
      <c r="X39" s="39" t="s">
        <v>904</v>
      </c>
      <c r="Y39" s="39" t="s">
        <v>905</v>
      </c>
      <c r="Z39" s="36" t="s">
        <v>418</v>
      </c>
      <c r="AA39" s="36" t="s">
        <v>418</v>
      </c>
      <c r="AB39" s="39" t="s">
        <v>906</v>
      </c>
      <c r="AC39" s="40"/>
      <c r="AD39" s="36" t="s">
        <v>432</v>
      </c>
      <c r="AE39" s="36" t="s">
        <v>418</v>
      </c>
      <c r="AF39" s="36" t="s">
        <v>419</v>
      </c>
      <c r="AG39" s="36"/>
      <c r="AH39" s="36" t="s">
        <v>433</v>
      </c>
      <c r="AI39" s="36" t="s">
        <v>434</v>
      </c>
      <c r="AJ39" s="39" t="s">
        <v>892</v>
      </c>
    </row>
    <row r="40" customFormat="false" ht="42" hidden="false" customHeight="true" outlineLevel="0" collapsed="false">
      <c r="A40" s="41" t="s">
        <v>907</v>
      </c>
      <c r="B40" s="42" t="s">
        <v>908</v>
      </c>
      <c r="C40" s="42" t="s">
        <v>879</v>
      </c>
      <c r="D40" s="43" t="s">
        <v>895</v>
      </c>
      <c r="E40" s="42" t="s">
        <v>909</v>
      </c>
      <c r="F40" s="42" t="s">
        <v>910</v>
      </c>
      <c r="G40" s="41" t="s">
        <v>415</v>
      </c>
      <c r="H40" s="41" t="s">
        <v>438</v>
      </c>
      <c r="I40" s="43" t="s">
        <v>439</v>
      </c>
      <c r="J40" s="41" t="s">
        <v>417</v>
      </c>
      <c r="K40" s="41" t="s">
        <v>419</v>
      </c>
      <c r="L40" s="41" t="s">
        <v>419</v>
      </c>
      <c r="M40" s="41" t="s">
        <v>420</v>
      </c>
      <c r="N40" s="41" t="s">
        <v>440</v>
      </c>
      <c r="O40" s="43" t="s">
        <v>911</v>
      </c>
      <c r="P40" s="38" t="s">
        <v>912</v>
      </c>
      <c r="Q40" s="38" t="s">
        <v>913</v>
      </c>
      <c r="R40" s="38" t="s">
        <v>914</v>
      </c>
      <c r="S40" s="38" t="s">
        <v>915</v>
      </c>
      <c r="T40" s="38" t="s">
        <v>916</v>
      </c>
      <c r="U40" s="38" t="s">
        <v>917</v>
      </c>
      <c r="V40" s="36" t="n">
        <v>5</v>
      </c>
      <c r="W40" s="36" t="n">
        <v>1</v>
      </c>
      <c r="X40" s="39" t="s">
        <v>918</v>
      </c>
      <c r="Y40" s="39" t="s">
        <v>919</v>
      </c>
      <c r="Z40" s="36" t="s">
        <v>418</v>
      </c>
      <c r="AA40" s="36" t="s">
        <v>418</v>
      </c>
      <c r="AB40" s="39" t="s">
        <v>450</v>
      </c>
      <c r="AC40" s="40"/>
      <c r="AD40" s="36" t="s">
        <v>432</v>
      </c>
      <c r="AE40" s="36" t="s">
        <v>418</v>
      </c>
      <c r="AF40" s="36" t="s">
        <v>419</v>
      </c>
      <c r="AG40" s="36"/>
      <c r="AH40" s="36" t="s">
        <v>433</v>
      </c>
      <c r="AI40" s="36" t="s">
        <v>434</v>
      </c>
      <c r="AJ40" s="39" t="s">
        <v>920</v>
      </c>
    </row>
    <row r="41" customFormat="false" ht="42" hidden="false" customHeight="true" outlineLevel="0" collapsed="false">
      <c r="A41" s="36" t="s">
        <v>921</v>
      </c>
      <c r="B41" s="37" t="s">
        <v>922</v>
      </c>
      <c r="C41" s="37" t="s">
        <v>879</v>
      </c>
      <c r="D41" s="38" t="s">
        <v>895</v>
      </c>
      <c r="E41" s="37" t="s">
        <v>909</v>
      </c>
      <c r="F41" s="37" t="s">
        <v>910</v>
      </c>
      <c r="G41" s="36" t="s">
        <v>415</v>
      </c>
      <c r="H41" s="36" t="s">
        <v>468</v>
      </c>
      <c r="I41" s="38" t="s">
        <v>923</v>
      </c>
      <c r="J41" s="36" t="s">
        <v>53</v>
      </c>
      <c r="K41" s="36" t="s">
        <v>419</v>
      </c>
      <c r="L41" s="36" t="s">
        <v>419</v>
      </c>
      <c r="M41" s="36" t="s">
        <v>420</v>
      </c>
      <c r="N41" s="36" t="s">
        <v>924</v>
      </c>
      <c r="O41" s="38" t="s">
        <v>925</v>
      </c>
      <c r="P41" s="38" t="s">
        <v>926</v>
      </c>
      <c r="Q41" s="38" t="s">
        <v>927</v>
      </c>
      <c r="R41" s="38" t="s">
        <v>928</v>
      </c>
      <c r="S41" s="38" t="s">
        <v>929</v>
      </c>
      <c r="T41" s="38" t="s">
        <v>930</v>
      </c>
      <c r="U41" s="38" t="s">
        <v>931</v>
      </c>
      <c r="V41" s="36" t="n">
        <v>5</v>
      </c>
      <c r="W41" s="36" t="n">
        <v>1</v>
      </c>
      <c r="X41" s="39" t="s">
        <v>918</v>
      </c>
      <c r="Y41" s="39" t="s">
        <v>932</v>
      </c>
      <c r="Z41" s="36" t="s">
        <v>418</v>
      </c>
      <c r="AA41" s="36" t="s">
        <v>418</v>
      </c>
      <c r="AB41" s="39" t="s">
        <v>26</v>
      </c>
      <c r="AC41" s="40" t="s">
        <v>789</v>
      </c>
      <c r="AD41" s="36" t="s">
        <v>432</v>
      </c>
      <c r="AE41" s="36" t="s">
        <v>418</v>
      </c>
      <c r="AF41" s="36" t="s">
        <v>419</v>
      </c>
      <c r="AG41" s="36"/>
      <c r="AH41" s="36" t="s">
        <v>433</v>
      </c>
      <c r="AI41" s="36" t="s">
        <v>434</v>
      </c>
      <c r="AJ41" s="39" t="s">
        <v>920</v>
      </c>
    </row>
    <row r="42" customFormat="false" ht="42" hidden="false" customHeight="true" outlineLevel="0" collapsed="false">
      <c r="A42" s="41" t="s">
        <v>933</v>
      </c>
      <c r="B42" s="42" t="s">
        <v>934</v>
      </c>
      <c r="C42" s="42" t="s">
        <v>879</v>
      </c>
      <c r="D42" s="43" t="s">
        <v>895</v>
      </c>
      <c r="E42" s="42" t="s">
        <v>881</v>
      </c>
      <c r="F42" s="42" t="s">
        <v>882</v>
      </c>
      <c r="G42" s="41" t="s">
        <v>415</v>
      </c>
      <c r="H42" s="41" t="s">
        <v>78</v>
      </c>
      <c r="I42" s="43" t="s">
        <v>935</v>
      </c>
      <c r="J42" s="41" t="s">
        <v>53</v>
      </c>
      <c r="K42" s="41" t="s">
        <v>418</v>
      </c>
      <c r="L42" s="41" t="s">
        <v>419</v>
      </c>
      <c r="M42" s="41" t="s">
        <v>420</v>
      </c>
      <c r="N42" s="41" t="s">
        <v>440</v>
      </c>
      <c r="O42" s="43" t="s">
        <v>936</v>
      </c>
      <c r="P42" s="38" t="s">
        <v>937</v>
      </c>
      <c r="Q42" s="38" t="s">
        <v>938</v>
      </c>
      <c r="R42" s="38" t="s">
        <v>939</v>
      </c>
      <c r="S42" s="38" t="s">
        <v>940</v>
      </c>
      <c r="T42" s="38" t="s">
        <v>941</v>
      </c>
      <c r="U42" s="38" t="s">
        <v>942</v>
      </c>
      <c r="V42" s="36" t="n">
        <v>5</v>
      </c>
      <c r="W42" s="36" t="n">
        <v>0</v>
      </c>
      <c r="X42" s="39" t="s">
        <v>943</v>
      </c>
      <c r="Y42" s="39" t="s">
        <v>944</v>
      </c>
      <c r="Z42" s="36" t="s">
        <v>419</v>
      </c>
      <c r="AA42" s="36" t="s">
        <v>418</v>
      </c>
      <c r="AB42" s="39" t="s">
        <v>945</v>
      </c>
      <c r="AC42" s="40"/>
      <c r="AD42" s="36" t="s">
        <v>432</v>
      </c>
      <c r="AE42" s="36" t="s">
        <v>419</v>
      </c>
      <c r="AF42" s="36" t="s">
        <v>419</v>
      </c>
      <c r="AG42" s="36"/>
      <c r="AH42" s="36" t="s">
        <v>433</v>
      </c>
      <c r="AI42" s="36" t="s">
        <v>434</v>
      </c>
      <c r="AJ42" s="39" t="s">
        <v>892</v>
      </c>
    </row>
    <row r="43" customFormat="false" ht="42" hidden="false" customHeight="true" outlineLevel="0" collapsed="false">
      <c r="A43" s="36" t="s">
        <v>946</v>
      </c>
      <c r="B43" s="37" t="s">
        <v>947</v>
      </c>
      <c r="C43" s="37" t="s">
        <v>879</v>
      </c>
      <c r="D43" s="38" t="s">
        <v>948</v>
      </c>
      <c r="E43" s="37" t="s">
        <v>881</v>
      </c>
      <c r="F43" s="37" t="s">
        <v>882</v>
      </c>
      <c r="G43" s="36" t="s">
        <v>415</v>
      </c>
      <c r="H43" s="36" t="s">
        <v>78</v>
      </c>
      <c r="I43" s="38" t="s">
        <v>725</v>
      </c>
      <c r="J43" s="36" t="s">
        <v>528</v>
      </c>
      <c r="K43" s="36" t="s">
        <v>418</v>
      </c>
      <c r="L43" s="36" t="s">
        <v>419</v>
      </c>
      <c r="M43" s="36" t="s">
        <v>420</v>
      </c>
      <c r="N43" s="36" t="s">
        <v>421</v>
      </c>
      <c r="O43" s="38" t="s">
        <v>949</v>
      </c>
      <c r="P43" s="38" t="s">
        <v>950</v>
      </c>
      <c r="Q43" s="38" t="s">
        <v>951</v>
      </c>
      <c r="R43" s="38" t="s">
        <v>952</v>
      </c>
      <c r="S43" s="38" t="s">
        <v>953</v>
      </c>
      <c r="T43" s="38" t="s">
        <v>954</v>
      </c>
      <c r="U43" s="38" t="s">
        <v>955</v>
      </c>
      <c r="V43" s="36" t="n">
        <v>5</v>
      </c>
      <c r="W43" s="36" t="n">
        <v>2</v>
      </c>
      <c r="X43" s="39" t="s">
        <v>956</v>
      </c>
      <c r="Y43" s="39" t="s">
        <v>957</v>
      </c>
      <c r="Z43" s="36" t="s">
        <v>418</v>
      </c>
      <c r="AA43" s="36" t="s">
        <v>419</v>
      </c>
      <c r="AB43" s="39" t="s">
        <v>735</v>
      </c>
      <c r="AC43" s="40"/>
      <c r="AD43" s="36" t="s">
        <v>432</v>
      </c>
      <c r="AE43" s="36" t="s">
        <v>418</v>
      </c>
      <c r="AF43" s="36" t="s">
        <v>419</v>
      </c>
      <c r="AG43" s="36"/>
      <c r="AH43" s="36" t="s">
        <v>433</v>
      </c>
      <c r="AI43" s="36" t="s">
        <v>434</v>
      </c>
      <c r="AJ43" s="39" t="s">
        <v>892</v>
      </c>
    </row>
    <row r="44" customFormat="false" ht="42" hidden="false" customHeight="true" outlineLevel="0" collapsed="false">
      <c r="A44" s="41" t="s">
        <v>958</v>
      </c>
      <c r="B44" s="42" t="s">
        <v>959</v>
      </c>
      <c r="C44" s="42" t="s">
        <v>879</v>
      </c>
      <c r="D44" s="43" t="s">
        <v>960</v>
      </c>
      <c r="E44" s="42" t="s">
        <v>500</v>
      </c>
      <c r="F44" s="42" t="s">
        <v>961</v>
      </c>
      <c r="G44" s="41" t="s">
        <v>500</v>
      </c>
      <c r="H44" s="41" t="s">
        <v>78</v>
      </c>
      <c r="I44" s="43" t="s">
        <v>962</v>
      </c>
      <c r="J44" s="41" t="s">
        <v>53</v>
      </c>
      <c r="K44" s="41" t="s">
        <v>418</v>
      </c>
      <c r="L44" s="41" t="s">
        <v>419</v>
      </c>
      <c r="M44" s="41" t="s">
        <v>420</v>
      </c>
      <c r="N44" s="41" t="s">
        <v>440</v>
      </c>
      <c r="O44" s="43" t="s">
        <v>963</v>
      </c>
      <c r="P44" s="38" t="s">
        <v>964</v>
      </c>
      <c r="Q44" s="38" t="s">
        <v>965</v>
      </c>
      <c r="R44" s="38" t="s">
        <v>966</v>
      </c>
      <c r="S44" s="38" t="s">
        <v>967</v>
      </c>
      <c r="T44" s="38" t="s">
        <v>968</v>
      </c>
      <c r="U44" s="38" t="s">
        <v>969</v>
      </c>
      <c r="V44" s="36" t="n">
        <v>5</v>
      </c>
      <c r="W44" s="36" t="n">
        <v>0</v>
      </c>
      <c r="X44" s="39" t="s">
        <v>970</v>
      </c>
      <c r="Y44" s="39" t="s">
        <v>971</v>
      </c>
      <c r="Z44" s="36" t="s">
        <v>419</v>
      </c>
      <c r="AA44" s="36" t="s">
        <v>418</v>
      </c>
      <c r="AB44" s="39" t="s">
        <v>972</v>
      </c>
      <c r="AC44" s="40"/>
      <c r="AD44" s="36" t="s">
        <v>432</v>
      </c>
      <c r="AE44" s="36" t="s">
        <v>419</v>
      </c>
      <c r="AF44" s="36" t="s">
        <v>419</v>
      </c>
      <c r="AG44" s="36"/>
      <c r="AH44" s="36" t="s">
        <v>433</v>
      </c>
      <c r="AI44" s="36" t="s">
        <v>434</v>
      </c>
      <c r="AJ44" s="39" t="s">
        <v>973</v>
      </c>
    </row>
    <row r="45" customFormat="false" ht="42" hidden="false" customHeight="true" outlineLevel="0" collapsed="false">
      <c r="A45" s="36" t="s">
        <v>974</v>
      </c>
      <c r="B45" s="37" t="s">
        <v>975</v>
      </c>
      <c r="C45" s="37" t="s">
        <v>879</v>
      </c>
      <c r="D45" s="38" t="s">
        <v>895</v>
      </c>
      <c r="E45" s="37" t="s">
        <v>909</v>
      </c>
      <c r="F45" s="37" t="s">
        <v>910</v>
      </c>
      <c r="G45" s="36" t="s">
        <v>415</v>
      </c>
      <c r="H45" s="36" t="s">
        <v>468</v>
      </c>
      <c r="I45" s="38" t="s">
        <v>976</v>
      </c>
      <c r="J45" s="36" t="s">
        <v>53</v>
      </c>
      <c r="K45" s="36" t="s">
        <v>419</v>
      </c>
      <c r="L45" s="36" t="s">
        <v>419</v>
      </c>
      <c r="M45" s="36" t="s">
        <v>420</v>
      </c>
      <c r="N45" s="36" t="s">
        <v>470</v>
      </c>
      <c r="O45" s="38" t="s">
        <v>977</v>
      </c>
      <c r="P45" s="38" t="s">
        <v>978</v>
      </c>
      <c r="Q45" s="38" t="s">
        <v>979</v>
      </c>
      <c r="R45" s="38" t="s">
        <v>980</v>
      </c>
      <c r="S45" s="38" t="s">
        <v>981</v>
      </c>
      <c r="T45" s="38" t="s">
        <v>982</v>
      </c>
      <c r="U45" s="38" t="s">
        <v>983</v>
      </c>
      <c r="V45" s="36" t="n">
        <v>4</v>
      </c>
      <c r="W45" s="36" t="n">
        <v>1</v>
      </c>
      <c r="X45" s="39" t="s">
        <v>918</v>
      </c>
      <c r="Y45" s="39" t="s">
        <v>984</v>
      </c>
      <c r="Z45" s="36" t="s">
        <v>418</v>
      </c>
      <c r="AA45" s="36" t="s">
        <v>418</v>
      </c>
      <c r="AB45" s="39" t="s">
        <v>985</v>
      </c>
      <c r="AC45" s="40" t="s">
        <v>789</v>
      </c>
      <c r="AD45" s="36" t="s">
        <v>432</v>
      </c>
      <c r="AE45" s="36" t="s">
        <v>418</v>
      </c>
      <c r="AF45" s="36" t="s">
        <v>419</v>
      </c>
      <c r="AG45" s="36"/>
      <c r="AH45" s="36" t="s">
        <v>433</v>
      </c>
      <c r="AI45" s="36" t="s">
        <v>434</v>
      </c>
      <c r="AJ45" s="39" t="s">
        <v>920</v>
      </c>
    </row>
    <row r="46" customFormat="false" ht="42" hidden="false" customHeight="true" outlineLevel="0" collapsed="false">
      <c r="A46" s="41" t="s">
        <v>986</v>
      </c>
      <c r="B46" s="42" t="s">
        <v>987</v>
      </c>
      <c r="C46" s="42" t="s">
        <v>879</v>
      </c>
      <c r="D46" s="43" t="s">
        <v>895</v>
      </c>
      <c r="E46" s="42" t="s">
        <v>881</v>
      </c>
      <c r="F46" s="42" t="s">
        <v>882</v>
      </c>
      <c r="G46" s="41" t="s">
        <v>415</v>
      </c>
      <c r="H46" s="41" t="s">
        <v>468</v>
      </c>
      <c r="I46" s="43" t="s">
        <v>87</v>
      </c>
      <c r="J46" s="41" t="s">
        <v>53</v>
      </c>
      <c r="K46" s="41" t="s">
        <v>418</v>
      </c>
      <c r="L46" s="41" t="s">
        <v>418</v>
      </c>
      <c r="M46" s="41" t="s">
        <v>469</v>
      </c>
      <c r="N46" s="41" t="s">
        <v>470</v>
      </c>
      <c r="O46" s="43" t="s">
        <v>988</v>
      </c>
      <c r="P46" s="38" t="s">
        <v>989</v>
      </c>
      <c r="Q46" s="38" t="s">
        <v>990</v>
      </c>
      <c r="R46" s="38" t="s">
        <v>991</v>
      </c>
      <c r="S46" s="38" t="s">
        <v>992</v>
      </c>
      <c r="T46" s="38" t="s">
        <v>993</v>
      </c>
      <c r="U46" s="38" t="s">
        <v>994</v>
      </c>
      <c r="V46" s="36" t="n">
        <v>5</v>
      </c>
      <c r="W46" s="36" t="n">
        <v>0</v>
      </c>
      <c r="X46" s="39" t="s">
        <v>995</v>
      </c>
      <c r="Y46" s="39" t="s">
        <v>996</v>
      </c>
      <c r="Z46" s="36" t="s">
        <v>419</v>
      </c>
      <c r="AA46" s="36" t="s">
        <v>418</v>
      </c>
      <c r="AB46" s="39" t="s">
        <v>26</v>
      </c>
      <c r="AC46" s="40"/>
      <c r="AD46" s="36" t="s">
        <v>432</v>
      </c>
      <c r="AE46" s="36" t="s">
        <v>418</v>
      </c>
      <c r="AF46" s="36" t="s">
        <v>419</v>
      </c>
      <c r="AG46" s="36"/>
      <c r="AH46" s="36" t="s">
        <v>480</v>
      </c>
      <c r="AI46" s="36" t="s">
        <v>481</v>
      </c>
      <c r="AJ46" s="39" t="s">
        <v>892</v>
      </c>
    </row>
    <row r="47" customFormat="false" ht="42" hidden="false" customHeight="true" outlineLevel="0" collapsed="false">
      <c r="A47" s="36" t="s">
        <v>997</v>
      </c>
      <c r="B47" s="37" t="s">
        <v>998</v>
      </c>
      <c r="C47" s="37" t="s">
        <v>879</v>
      </c>
      <c r="D47" s="38" t="s">
        <v>960</v>
      </c>
      <c r="E47" s="37" t="s">
        <v>500</v>
      </c>
      <c r="F47" s="37" t="s">
        <v>961</v>
      </c>
      <c r="G47" s="36" t="s">
        <v>500</v>
      </c>
      <c r="H47" s="36" t="s">
        <v>468</v>
      </c>
      <c r="I47" s="38" t="s">
        <v>87</v>
      </c>
      <c r="J47" s="36" t="s">
        <v>417</v>
      </c>
      <c r="K47" s="36" t="s">
        <v>418</v>
      </c>
      <c r="L47" s="36" t="s">
        <v>418</v>
      </c>
      <c r="M47" s="36" t="s">
        <v>469</v>
      </c>
      <c r="N47" s="36" t="s">
        <v>440</v>
      </c>
      <c r="O47" s="38" t="s">
        <v>999</v>
      </c>
      <c r="P47" s="38" t="s">
        <v>1000</v>
      </c>
      <c r="Q47" s="38" t="s">
        <v>1001</v>
      </c>
      <c r="R47" s="38" t="s">
        <v>1002</v>
      </c>
      <c r="S47" s="38" t="s">
        <v>1003</v>
      </c>
      <c r="T47" s="38" t="s">
        <v>1004</v>
      </c>
      <c r="U47" s="38" t="s">
        <v>1005</v>
      </c>
      <c r="V47" s="36" t="n">
        <v>4</v>
      </c>
      <c r="W47" s="36" t="n">
        <v>0</v>
      </c>
      <c r="X47" s="39" t="s">
        <v>970</v>
      </c>
      <c r="Y47" s="39" t="s">
        <v>1006</v>
      </c>
      <c r="Z47" s="36" t="s">
        <v>419</v>
      </c>
      <c r="AA47" s="36" t="s">
        <v>418</v>
      </c>
      <c r="AB47" s="39" t="s">
        <v>26</v>
      </c>
      <c r="AC47" s="40"/>
      <c r="AD47" s="36" t="s">
        <v>432</v>
      </c>
      <c r="AE47" s="36" t="s">
        <v>419</v>
      </c>
      <c r="AF47" s="36" t="s">
        <v>419</v>
      </c>
      <c r="AG47" s="36"/>
      <c r="AH47" s="36" t="s">
        <v>480</v>
      </c>
      <c r="AI47" s="36" t="s">
        <v>481</v>
      </c>
      <c r="AJ47" s="39" t="s">
        <v>973</v>
      </c>
    </row>
    <row r="48" customFormat="false" ht="42" hidden="false" customHeight="true" outlineLevel="0" collapsed="false">
      <c r="A48" s="41" t="s">
        <v>1007</v>
      </c>
      <c r="B48" s="42" t="s">
        <v>1008</v>
      </c>
      <c r="C48" s="42" t="s">
        <v>879</v>
      </c>
      <c r="D48" s="43" t="s">
        <v>895</v>
      </c>
      <c r="E48" s="42" t="s">
        <v>909</v>
      </c>
      <c r="F48" s="42" t="s">
        <v>910</v>
      </c>
      <c r="G48" s="41" t="s">
        <v>415</v>
      </c>
      <c r="H48" s="41" t="s">
        <v>468</v>
      </c>
      <c r="I48" s="43" t="s">
        <v>87</v>
      </c>
      <c r="J48" s="41" t="s">
        <v>53</v>
      </c>
      <c r="K48" s="41" t="s">
        <v>419</v>
      </c>
      <c r="L48" s="41" t="s">
        <v>419</v>
      </c>
      <c r="M48" s="41" t="s">
        <v>420</v>
      </c>
      <c r="N48" s="41" t="s">
        <v>470</v>
      </c>
      <c r="O48" s="43" t="s">
        <v>1009</v>
      </c>
      <c r="P48" s="38" t="s">
        <v>1010</v>
      </c>
      <c r="Q48" s="38" t="s">
        <v>1011</v>
      </c>
      <c r="R48" s="38" t="s">
        <v>1012</v>
      </c>
      <c r="S48" s="38" t="s">
        <v>1013</v>
      </c>
      <c r="T48" s="38" t="s">
        <v>1014</v>
      </c>
      <c r="U48" s="38" t="s">
        <v>1015</v>
      </c>
      <c r="V48" s="36" t="n">
        <v>4</v>
      </c>
      <c r="W48" s="36" t="n">
        <v>0</v>
      </c>
      <c r="X48" s="39" t="s">
        <v>1016</v>
      </c>
      <c r="Y48" s="39" t="s">
        <v>1017</v>
      </c>
      <c r="Z48" s="36" t="s">
        <v>419</v>
      </c>
      <c r="AA48" s="36" t="s">
        <v>418</v>
      </c>
      <c r="AB48" s="39" t="s">
        <v>26</v>
      </c>
      <c r="AC48" s="40"/>
      <c r="AD48" s="36" t="s">
        <v>432</v>
      </c>
      <c r="AE48" s="36" t="s">
        <v>418</v>
      </c>
      <c r="AF48" s="36" t="s">
        <v>419</v>
      </c>
      <c r="AG48" s="36"/>
      <c r="AH48" s="36" t="s">
        <v>433</v>
      </c>
      <c r="AI48" s="36" t="s">
        <v>434</v>
      </c>
      <c r="AJ48" s="39" t="s">
        <v>920</v>
      </c>
    </row>
    <row r="49" customFormat="false" ht="42" hidden="false" customHeight="true" outlineLevel="0" collapsed="false">
      <c r="A49" s="36" t="s">
        <v>1018</v>
      </c>
      <c r="B49" s="37" t="s">
        <v>1019</v>
      </c>
      <c r="C49" s="37" t="s">
        <v>879</v>
      </c>
      <c r="D49" s="38" t="s">
        <v>1020</v>
      </c>
      <c r="E49" s="37" t="s">
        <v>881</v>
      </c>
      <c r="F49" s="37" t="s">
        <v>882</v>
      </c>
      <c r="G49" s="36" t="s">
        <v>500</v>
      </c>
      <c r="H49" s="36" t="s">
        <v>468</v>
      </c>
      <c r="I49" s="38" t="s">
        <v>1021</v>
      </c>
      <c r="J49" s="36" t="s">
        <v>53</v>
      </c>
      <c r="K49" s="36" t="s">
        <v>418</v>
      </c>
      <c r="L49" s="36" t="s">
        <v>418</v>
      </c>
      <c r="M49" s="36" t="s">
        <v>1022</v>
      </c>
      <c r="N49" s="36" t="s">
        <v>470</v>
      </c>
      <c r="O49" s="38" t="s">
        <v>1023</v>
      </c>
      <c r="P49" s="38" t="s">
        <v>1024</v>
      </c>
      <c r="Q49" s="38" t="s">
        <v>1025</v>
      </c>
      <c r="R49" s="38" t="s">
        <v>1026</v>
      </c>
      <c r="S49" s="38" t="s">
        <v>1027</v>
      </c>
      <c r="T49" s="38" t="s">
        <v>1028</v>
      </c>
      <c r="U49" s="38" t="s">
        <v>1029</v>
      </c>
      <c r="V49" s="36" t="n">
        <v>4</v>
      </c>
      <c r="W49" s="36" t="n">
        <v>0</v>
      </c>
      <c r="X49" s="39" t="s">
        <v>1030</v>
      </c>
      <c r="Y49" s="39" t="s">
        <v>1031</v>
      </c>
      <c r="Z49" s="36" t="s">
        <v>419</v>
      </c>
      <c r="AA49" s="36" t="s">
        <v>418</v>
      </c>
      <c r="AB49" s="39" t="s">
        <v>1032</v>
      </c>
      <c r="AC49" s="40"/>
      <c r="AD49" s="36" t="s">
        <v>432</v>
      </c>
      <c r="AE49" s="36" t="s">
        <v>419</v>
      </c>
      <c r="AF49" s="36" t="s">
        <v>419</v>
      </c>
      <c r="AG49" s="36"/>
      <c r="AH49" s="36" t="s">
        <v>1033</v>
      </c>
      <c r="AI49" s="36" t="s">
        <v>1034</v>
      </c>
      <c r="AJ49" s="39" t="s">
        <v>892</v>
      </c>
    </row>
    <row r="50" customFormat="false" ht="42" hidden="false" customHeight="true" outlineLevel="0" collapsed="false">
      <c r="A50" s="41" t="s">
        <v>1035</v>
      </c>
      <c r="B50" s="42" t="s">
        <v>1036</v>
      </c>
      <c r="C50" s="42" t="s">
        <v>879</v>
      </c>
      <c r="D50" s="43" t="s">
        <v>895</v>
      </c>
      <c r="E50" s="42" t="s">
        <v>881</v>
      </c>
      <c r="F50" s="42" t="s">
        <v>882</v>
      </c>
      <c r="G50" s="41" t="s">
        <v>415</v>
      </c>
      <c r="H50" s="41" t="s">
        <v>468</v>
      </c>
      <c r="I50" s="43" t="s">
        <v>87</v>
      </c>
      <c r="J50" s="41" t="s">
        <v>417</v>
      </c>
      <c r="K50" s="41" t="s">
        <v>418</v>
      </c>
      <c r="L50" s="41" t="s">
        <v>418</v>
      </c>
      <c r="M50" s="41" t="s">
        <v>1037</v>
      </c>
      <c r="N50" s="41" t="s">
        <v>924</v>
      </c>
      <c r="O50" s="43" t="s">
        <v>1038</v>
      </c>
      <c r="P50" s="38" t="s">
        <v>1039</v>
      </c>
      <c r="Q50" s="38" t="s">
        <v>1040</v>
      </c>
      <c r="R50" s="38" t="s">
        <v>1041</v>
      </c>
      <c r="S50" s="38" t="s">
        <v>1042</v>
      </c>
      <c r="T50" s="38" t="s">
        <v>1043</v>
      </c>
      <c r="U50" s="38" t="s">
        <v>1044</v>
      </c>
      <c r="V50" s="36" t="n">
        <v>4</v>
      </c>
      <c r="W50" s="36" t="n">
        <v>2</v>
      </c>
      <c r="X50" s="39" t="s">
        <v>1045</v>
      </c>
      <c r="Y50" s="39" t="s">
        <v>1046</v>
      </c>
      <c r="Z50" s="36" t="s">
        <v>418</v>
      </c>
      <c r="AA50" s="36" t="s">
        <v>418</v>
      </c>
      <c r="AB50" s="39" t="s">
        <v>26</v>
      </c>
      <c r="AC50" s="40"/>
      <c r="AD50" s="36" t="s">
        <v>342</v>
      </c>
      <c r="AE50" s="36" t="s">
        <v>418</v>
      </c>
      <c r="AF50" s="36" t="s">
        <v>419</v>
      </c>
      <c r="AG50" s="36"/>
      <c r="AH50" s="36" t="s">
        <v>480</v>
      </c>
      <c r="AI50" s="36" t="s">
        <v>481</v>
      </c>
      <c r="AJ50" s="39" t="s">
        <v>892</v>
      </c>
    </row>
    <row r="51" customFormat="false" ht="42" hidden="false" customHeight="true" outlineLevel="0" collapsed="false">
      <c r="A51" s="36" t="s">
        <v>1047</v>
      </c>
      <c r="B51" s="37" t="s">
        <v>1048</v>
      </c>
      <c r="C51" s="37" t="s">
        <v>1049</v>
      </c>
      <c r="D51" s="38" t="s">
        <v>1050</v>
      </c>
      <c r="E51" s="37" t="s">
        <v>596</v>
      </c>
      <c r="F51" s="37" t="s">
        <v>1051</v>
      </c>
      <c r="G51" s="36" t="s">
        <v>415</v>
      </c>
      <c r="H51" s="36" t="s">
        <v>438</v>
      </c>
      <c r="I51" s="38" t="s">
        <v>1052</v>
      </c>
      <c r="J51" s="36" t="s">
        <v>417</v>
      </c>
      <c r="K51" s="36" t="s">
        <v>418</v>
      </c>
      <c r="L51" s="36" t="s">
        <v>419</v>
      </c>
      <c r="M51" s="36" t="s">
        <v>420</v>
      </c>
      <c r="N51" s="36" t="s">
        <v>440</v>
      </c>
      <c r="O51" s="38" t="s">
        <v>1053</v>
      </c>
      <c r="P51" s="38" t="s">
        <v>1054</v>
      </c>
      <c r="Q51" s="38" t="s">
        <v>1055</v>
      </c>
      <c r="R51" s="38" t="s">
        <v>1056</v>
      </c>
      <c r="S51" s="38" t="s">
        <v>1057</v>
      </c>
      <c r="T51" s="38" t="s">
        <v>1058</v>
      </c>
      <c r="U51" s="38" t="s">
        <v>1059</v>
      </c>
      <c r="V51" s="36" t="n">
        <v>7</v>
      </c>
      <c r="W51" s="36" t="n">
        <v>1</v>
      </c>
      <c r="X51" s="39" t="s">
        <v>1060</v>
      </c>
      <c r="Y51" s="39" t="s">
        <v>1061</v>
      </c>
      <c r="Z51" s="36" t="s">
        <v>418</v>
      </c>
      <c r="AA51" s="36" t="s">
        <v>418</v>
      </c>
      <c r="AB51" s="39" t="s">
        <v>1062</v>
      </c>
      <c r="AC51" s="40"/>
      <c r="AD51" s="36" t="s">
        <v>432</v>
      </c>
      <c r="AE51" s="36" t="s">
        <v>418</v>
      </c>
      <c r="AF51" s="36" t="s">
        <v>419</v>
      </c>
      <c r="AG51" s="36"/>
      <c r="AH51" s="36" t="s">
        <v>433</v>
      </c>
      <c r="AI51" s="36" t="s">
        <v>434</v>
      </c>
      <c r="AJ51" s="39" t="s">
        <v>609</v>
      </c>
    </row>
    <row r="52" customFormat="false" ht="42" hidden="false" customHeight="true" outlineLevel="0" collapsed="false">
      <c r="A52" s="41" t="s">
        <v>1063</v>
      </c>
      <c r="B52" s="42" t="s">
        <v>1064</v>
      </c>
      <c r="C52" s="42" t="s">
        <v>1049</v>
      </c>
      <c r="D52" s="43" t="s">
        <v>1065</v>
      </c>
      <c r="E52" s="42" t="s">
        <v>596</v>
      </c>
      <c r="F52" s="42" t="s">
        <v>1066</v>
      </c>
      <c r="G52" s="41" t="s">
        <v>415</v>
      </c>
      <c r="H52" s="41" t="s">
        <v>438</v>
      </c>
      <c r="I52" s="43" t="s">
        <v>416</v>
      </c>
      <c r="J52" s="41" t="s">
        <v>53</v>
      </c>
      <c r="K52" s="41" t="s">
        <v>418</v>
      </c>
      <c r="L52" s="41" t="s">
        <v>419</v>
      </c>
      <c r="M52" s="41" t="s">
        <v>420</v>
      </c>
      <c r="N52" s="41" t="s">
        <v>440</v>
      </c>
      <c r="O52" s="43" t="s">
        <v>1067</v>
      </c>
      <c r="P52" s="38" t="s">
        <v>1068</v>
      </c>
      <c r="Q52" s="38" t="s">
        <v>1069</v>
      </c>
      <c r="R52" s="38" t="s">
        <v>1070</v>
      </c>
      <c r="S52" s="38" t="s">
        <v>1071</v>
      </c>
      <c r="T52" s="38" t="s">
        <v>1072</v>
      </c>
      <c r="U52" s="38" t="s">
        <v>1073</v>
      </c>
      <c r="V52" s="36" t="n">
        <v>5</v>
      </c>
      <c r="W52" s="36" t="n">
        <v>1</v>
      </c>
      <c r="X52" s="39" t="s">
        <v>1074</v>
      </c>
      <c r="Y52" s="39" t="s">
        <v>1075</v>
      </c>
      <c r="Z52" s="36" t="s">
        <v>418</v>
      </c>
      <c r="AA52" s="36" t="s">
        <v>418</v>
      </c>
      <c r="AB52" s="39" t="s">
        <v>431</v>
      </c>
      <c r="AC52" s="40"/>
      <c r="AD52" s="36" t="s">
        <v>432</v>
      </c>
      <c r="AE52" s="36" t="s">
        <v>419</v>
      </c>
      <c r="AF52" s="36" t="s">
        <v>419</v>
      </c>
      <c r="AG52" s="36"/>
      <c r="AH52" s="36" t="s">
        <v>433</v>
      </c>
      <c r="AI52" s="36" t="s">
        <v>434</v>
      </c>
      <c r="AJ52" s="39" t="s">
        <v>609</v>
      </c>
    </row>
    <row r="53" customFormat="false" ht="42" hidden="false" customHeight="true" outlineLevel="0" collapsed="false">
      <c r="A53" s="36" t="s">
        <v>1076</v>
      </c>
      <c r="B53" s="37" t="s">
        <v>1077</v>
      </c>
      <c r="C53" s="37" t="s">
        <v>1049</v>
      </c>
      <c r="D53" s="38" t="s">
        <v>1065</v>
      </c>
      <c r="E53" s="37" t="s">
        <v>596</v>
      </c>
      <c r="F53" s="37" t="s">
        <v>1066</v>
      </c>
      <c r="G53" s="36" t="s">
        <v>415</v>
      </c>
      <c r="H53" s="36" t="s">
        <v>468</v>
      </c>
      <c r="I53" s="38" t="s">
        <v>87</v>
      </c>
      <c r="J53" s="36" t="s">
        <v>53</v>
      </c>
      <c r="K53" s="36" t="s">
        <v>418</v>
      </c>
      <c r="L53" s="36" t="s">
        <v>418</v>
      </c>
      <c r="M53" s="36" t="s">
        <v>469</v>
      </c>
      <c r="N53" s="36" t="s">
        <v>470</v>
      </c>
      <c r="O53" s="38" t="s">
        <v>1078</v>
      </c>
      <c r="P53" s="38" t="s">
        <v>1079</v>
      </c>
      <c r="Q53" s="38" t="s">
        <v>1080</v>
      </c>
      <c r="R53" s="38" t="s">
        <v>1081</v>
      </c>
      <c r="S53" s="38" t="s">
        <v>1082</v>
      </c>
      <c r="T53" s="38" t="s">
        <v>1083</v>
      </c>
      <c r="U53" s="38" t="s">
        <v>1084</v>
      </c>
      <c r="V53" s="36" t="n">
        <v>5</v>
      </c>
      <c r="W53" s="36" t="n">
        <v>0</v>
      </c>
      <c r="X53" s="39" t="s">
        <v>1085</v>
      </c>
      <c r="Y53" s="39" t="s">
        <v>1086</v>
      </c>
      <c r="Z53" s="36" t="s">
        <v>419</v>
      </c>
      <c r="AA53" s="36" t="s">
        <v>418</v>
      </c>
      <c r="AB53" s="39" t="s">
        <v>26</v>
      </c>
      <c r="AC53" s="40"/>
      <c r="AD53" s="36" t="s">
        <v>432</v>
      </c>
      <c r="AE53" s="36" t="s">
        <v>419</v>
      </c>
      <c r="AF53" s="36" t="s">
        <v>419</v>
      </c>
      <c r="AG53" s="36"/>
      <c r="AH53" s="36" t="s">
        <v>480</v>
      </c>
      <c r="AI53" s="36" t="s">
        <v>481</v>
      </c>
      <c r="AJ53" s="39" t="s">
        <v>609</v>
      </c>
    </row>
    <row r="54" customFormat="false" ht="42" hidden="false" customHeight="true" outlineLevel="0" collapsed="false">
      <c r="A54" s="41" t="s">
        <v>1087</v>
      </c>
      <c r="B54" s="42" t="s">
        <v>1088</v>
      </c>
      <c r="C54" s="42" t="s">
        <v>1049</v>
      </c>
      <c r="D54" s="43" t="s">
        <v>1089</v>
      </c>
      <c r="E54" s="42" t="s">
        <v>500</v>
      </c>
      <c r="F54" s="42" t="s">
        <v>1090</v>
      </c>
      <c r="G54" s="41" t="s">
        <v>500</v>
      </c>
      <c r="H54" s="41" t="s">
        <v>78</v>
      </c>
      <c r="I54" s="43" t="s">
        <v>1091</v>
      </c>
      <c r="J54" s="41" t="s">
        <v>53</v>
      </c>
      <c r="K54" s="41" t="s">
        <v>418</v>
      </c>
      <c r="L54" s="41" t="s">
        <v>419</v>
      </c>
      <c r="M54" s="41" t="s">
        <v>420</v>
      </c>
      <c r="N54" s="41" t="s">
        <v>440</v>
      </c>
      <c r="O54" s="43" t="s">
        <v>1092</v>
      </c>
      <c r="P54" s="38" t="s">
        <v>1093</v>
      </c>
      <c r="Q54" s="38" t="s">
        <v>1094</v>
      </c>
      <c r="R54" s="38" t="s">
        <v>1095</v>
      </c>
      <c r="S54" s="38" t="s">
        <v>1096</v>
      </c>
      <c r="T54" s="38" t="s">
        <v>1097</v>
      </c>
      <c r="U54" s="38" t="s">
        <v>1098</v>
      </c>
      <c r="V54" s="36" t="n">
        <v>5</v>
      </c>
      <c r="W54" s="36" t="n">
        <v>0</v>
      </c>
      <c r="X54" s="39" t="s">
        <v>1099</v>
      </c>
      <c r="Y54" s="39" t="s">
        <v>1100</v>
      </c>
      <c r="Z54" s="36" t="s">
        <v>419</v>
      </c>
      <c r="AA54" s="36" t="s">
        <v>418</v>
      </c>
      <c r="AB54" s="39" t="s">
        <v>1101</v>
      </c>
      <c r="AC54" s="40"/>
      <c r="AD54" s="36" t="s">
        <v>432</v>
      </c>
      <c r="AE54" s="36" t="s">
        <v>419</v>
      </c>
      <c r="AF54" s="36" t="s">
        <v>419</v>
      </c>
      <c r="AG54" s="36"/>
      <c r="AH54" s="36" t="s">
        <v>433</v>
      </c>
      <c r="AI54" s="36" t="s">
        <v>434</v>
      </c>
      <c r="AJ54" s="39" t="s">
        <v>1102</v>
      </c>
    </row>
    <row r="55" customFormat="false" ht="42" hidden="false" customHeight="true" outlineLevel="0" collapsed="false">
      <c r="A55" s="36" t="s">
        <v>1103</v>
      </c>
      <c r="B55" s="37" t="s">
        <v>1104</v>
      </c>
      <c r="C55" s="37" t="s">
        <v>1049</v>
      </c>
      <c r="D55" s="38" t="s">
        <v>1089</v>
      </c>
      <c r="E55" s="37" t="s">
        <v>500</v>
      </c>
      <c r="F55" s="37" t="s">
        <v>1090</v>
      </c>
      <c r="G55" s="36" t="s">
        <v>500</v>
      </c>
      <c r="H55" s="36" t="s">
        <v>78</v>
      </c>
      <c r="I55" s="38" t="s">
        <v>1091</v>
      </c>
      <c r="J55" s="36" t="s">
        <v>53</v>
      </c>
      <c r="K55" s="36" t="s">
        <v>418</v>
      </c>
      <c r="L55" s="36" t="s">
        <v>419</v>
      </c>
      <c r="M55" s="36" t="s">
        <v>420</v>
      </c>
      <c r="N55" s="36" t="s">
        <v>440</v>
      </c>
      <c r="O55" s="38" t="s">
        <v>1105</v>
      </c>
      <c r="P55" s="38" t="s">
        <v>1106</v>
      </c>
      <c r="Q55" s="38" t="s">
        <v>1107</v>
      </c>
      <c r="R55" s="38" t="s">
        <v>1108</v>
      </c>
      <c r="S55" s="38" t="s">
        <v>1109</v>
      </c>
      <c r="T55" s="38" t="s">
        <v>1110</v>
      </c>
      <c r="U55" s="38" t="s">
        <v>1111</v>
      </c>
      <c r="V55" s="36" t="n">
        <v>4</v>
      </c>
      <c r="W55" s="36" t="n">
        <v>0</v>
      </c>
      <c r="X55" s="39" t="s">
        <v>1112</v>
      </c>
      <c r="Y55" s="39" t="s">
        <v>1113</v>
      </c>
      <c r="Z55" s="36" t="s">
        <v>419</v>
      </c>
      <c r="AA55" s="36" t="s">
        <v>418</v>
      </c>
      <c r="AB55" s="39" t="s">
        <v>1101</v>
      </c>
      <c r="AC55" s="40"/>
      <c r="AD55" s="36" t="s">
        <v>432</v>
      </c>
      <c r="AE55" s="36" t="s">
        <v>419</v>
      </c>
      <c r="AF55" s="36" t="s">
        <v>419</v>
      </c>
      <c r="AG55" s="36"/>
      <c r="AH55" s="36" t="s">
        <v>433</v>
      </c>
      <c r="AI55" s="36" t="s">
        <v>434</v>
      </c>
      <c r="AJ55" s="39" t="s">
        <v>1102</v>
      </c>
    </row>
    <row r="56" customFormat="false" ht="42" hidden="false" customHeight="true" outlineLevel="0" collapsed="false">
      <c r="A56" s="41" t="s">
        <v>1114</v>
      </c>
      <c r="B56" s="42" t="s">
        <v>1115</v>
      </c>
      <c r="C56" s="42" t="s">
        <v>1049</v>
      </c>
      <c r="D56" s="43" t="s">
        <v>1089</v>
      </c>
      <c r="E56" s="42" t="s">
        <v>500</v>
      </c>
      <c r="F56" s="42" t="s">
        <v>1090</v>
      </c>
      <c r="G56" s="41" t="s">
        <v>500</v>
      </c>
      <c r="H56" s="41" t="s">
        <v>468</v>
      </c>
      <c r="I56" s="43" t="s">
        <v>1116</v>
      </c>
      <c r="J56" s="41" t="s">
        <v>528</v>
      </c>
      <c r="K56" s="41" t="s">
        <v>418</v>
      </c>
      <c r="L56" s="41" t="s">
        <v>418</v>
      </c>
      <c r="M56" s="41" t="s">
        <v>469</v>
      </c>
      <c r="N56" s="41" t="s">
        <v>470</v>
      </c>
      <c r="O56" s="43" t="s">
        <v>1117</v>
      </c>
      <c r="P56" s="38" t="s">
        <v>1118</v>
      </c>
      <c r="Q56" s="38" t="s">
        <v>1119</v>
      </c>
      <c r="R56" s="38" t="s">
        <v>1120</v>
      </c>
      <c r="S56" s="38" t="s">
        <v>1121</v>
      </c>
      <c r="T56" s="38" t="s">
        <v>1122</v>
      </c>
      <c r="U56" s="38" t="s">
        <v>1123</v>
      </c>
      <c r="V56" s="36" t="n">
        <v>5</v>
      </c>
      <c r="W56" s="36" t="n">
        <v>2</v>
      </c>
      <c r="X56" s="39" t="s">
        <v>1124</v>
      </c>
      <c r="Y56" s="39" t="s">
        <v>1125</v>
      </c>
      <c r="Z56" s="36" t="s">
        <v>418</v>
      </c>
      <c r="AA56" s="36" t="s">
        <v>418</v>
      </c>
      <c r="AB56" s="39" t="s">
        <v>1126</v>
      </c>
      <c r="AC56" s="40"/>
      <c r="AD56" s="36" t="s">
        <v>432</v>
      </c>
      <c r="AE56" s="36" t="s">
        <v>418</v>
      </c>
      <c r="AF56" s="36" t="s">
        <v>419</v>
      </c>
      <c r="AG56" s="36"/>
      <c r="AH56" s="36" t="s">
        <v>480</v>
      </c>
      <c r="AI56" s="36" t="s">
        <v>481</v>
      </c>
      <c r="AJ56" s="39" t="s">
        <v>1102</v>
      </c>
    </row>
    <row r="57" customFormat="false" ht="42" hidden="false" customHeight="true" outlineLevel="0" collapsed="false">
      <c r="A57" s="36" t="s">
        <v>1127</v>
      </c>
      <c r="B57" s="37" t="s">
        <v>1128</v>
      </c>
      <c r="C57" s="37" t="s">
        <v>1049</v>
      </c>
      <c r="D57" s="38" t="s">
        <v>1129</v>
      </c>
      <c r="E57" s="37" t="s">
        <v>596</v>
      </c>
      <c r="F57" s="37" t="s">
        <v>1051</v>
      </c>
      <c r="G57" s="36" t="s">
        <v>415</v>
      </c>
      <c r="H57" s="36" t="s">
        <v>468</v>
      </c>
      <c r="I57" s="38" t="s">
        <v>1130</v>
      </c>
      <c r="J57" s="36" t="s">
        <v>417</v>
      </c>
      <c r="K57" s="36" t="s">
        <v>419</v>
      </c>
      <c r="L57" s="36" t="s">
        <v>419</v>
      </c>
      <c r="M57" s="36" t="s">
        <v>420</v>
      </c>
      <c r="N57" s="36" t="s">
        <v>470</v>
      </c>
      <c r="O57" s="38" t="s">
        <v>1131</v>
      </c>
      <c r="P57" s="38" t="s">
        <v>1132</v>
      </c>
      <c r="Q57" s="38" t="s">
        <v>1133</v>
      </c>
      <c r="R57" s="38" t="s">
        <v>1134</v>
      </c>
      <c r="S57" s="38" t="s">
        <v>1135</v>
      </c>
      <c r="T57" s="38" t="s">
        <v>1136</v>
      </c>
      <c r="U57" s="38" t="s">
        <v>1137</v>
      </c>
      <c r="V57" s="36" t="n">
        <v>5</v>
      </c>
      <c r="W57" s="36" t="n">
        <v>1</v>
      </c>
      <c r="X57" s="39" t="s">
        <v>1138</v>
      </c>
      <c r="Y57" s="39" t="s">
        <v>1139</v>
      </c>
      <c r="Z57" s="36" t="s">
        <v>418</v>
      </c>
      <c r="AA57" s="36" t="s">
        <v>418</v>
      </c>
      <c r="AB57" s="39" t="s">
        <v>26</v>
      </c>
      <c r="AC57" s="40" t="s">
        <v>789</v>
      </c>
      <c r="AD57" s="36" t="s">
        <v>432</v>
      </c>
      <c r="AE57" s="36" t="s">
        <v>418</v>
      </c>
      <c r="AF57" s="36" t="s">
        <v>419</v>
      </c>
      <c r="AG57" s="36"/>
      <c r="AH57" s="36" t="s">
        <v>433</v>
      </c>
      <c r="AI57" s="36" t="s">
        <v>434</v>
      </c>
      <c r="AJ57" s="39" t="s">
        <v>609</v>
      </c>
    </row>
    <row r="58" customFormat="false" ht="42" hidden="false" customHeight="true" outlineLevel="0" collapsed="false">
      <c r="A58" s="41" t="s">
        <v>1140</v>
      </c>
      <c r="B58" s="42" t="s">
        <v>1141</v>
      </c>
      <c r="C58" s="42" t="s">
        <v>1049</v>
      </c>
      <c r="D58" s="43" t="s">
        <v>1142</v>
      </c>
      <c r="E58" s="42" t="s">
        <v>596</v>
      </c>
      <c r="F58" s="42" t="s">
        <v>1051</v>
      </c>
      <c r="G58" s="41" t="s">
        <v>415</v>
      </c>
      <c r="H58" s="41" t="s">
        <v>78</v>
      </c>
      <c r="I58" s="43" t="s">
        <v>820</v>
      </c>
      <c r="J58" s="41" t="s">
        <v>53</v>
      </c>
      <c r="K58" s="41" t="s">
        <v>418</v>
      </c>
      <c r="L58" s="41" t="s">
        <v>419</v>
      </c>
      <c r="M58" s="41" t="s">
        <v>420</v>
      </c>
      <c r="N58" s="41" t="s">
        <v>470</v>
      </c>
      <c r="O58" s="43" t="s">
        <v>1143</v>
      </c>
      <c r="P58" s="38" t="s">
        <v>1144</v>
      </c>
      <c r="Q58" s="38" t="s">
        <v>1145</v>
      </c>
      <c r="R58" s="38" t="s">
        <v>1146</v>
      </c>
      <c r="S58" s="38" t="s">
        <v>1147</v>
      </c>
      <c r="T58" s="38" t="s">
        <v>1148</v>
      </c>
      <c r="U58" s="38" t="s">
        <v>1149</v>
      </c>
      <c r="V58" s="36" t="n">
        <v>5</v>
      </c>
      <c r="W58" s="36" t="n">
        <v>0</v>
      </c>
      <c r="X58" s="39" t="s">
        <v>1150</v>
      </c>
      <c r="Y58" s="39" t="s">
        <v>1151</v>
      </c>
      <c r="Z58" s="36" t="s">
        <v>419</v>
      </c>
      <c r="AA58" s="36" t="s">
        <v>418</v>
      </c>
      <c r="AB58" s="39" t="s">
        <v>830</v>
      </c>
      <c r="AC58" s="40"/>
      <c r="AD58" s="36" t="s">
        <v>432</v>
      </c>
      <c r="AE58" s="36" t="s">
        <v>418</v>
      </c>
      <c r="AF58" s="36" t="s">
        <v>419</v>
      </c>
      <c r="AG58" s="36"/>
      <c r="AH58" s="36" t="s">
        <v>433</v>
      </c>
      <c r="AI58" s="36" t="s">
        <v>434</v>
      </c>
      <c r="AJ58" s="39" t="s">
        <v>609</v>
      </c>
    </row>
    <row r="59" customFormat="false" ht="42" hidden="false" customHeight="true" outlineLevel="0" collapsed="false">
      <c r="A59" s="36" t="s">
        <v>1152</v>
      </c>
      <c r="B59" s="37" t="s">
        <v>1153</v>
      </c>
      <c r="C59" s="37" t="s">
        <v>1049</v>
      </c>
      <c r="D59" s="38" t="s">
        <v>1154</v>
      </c>
      <c r="E59" s="37" t="s">
        <v>596</v>
      </c>
      <c r="F59" s="37" t="s">
        <v>1051</v>
      </c>
      <c r="G59" s="36" t="s">
        <v>500</v>
      </c>
      <c r="H59" s="36" t="s">
        <v>438</v>
      </c>
      <c r="I59" s="38" t="s">
        <v>1155</v>
      </c>
      <c r="J59" s="36" t="s">
        <v>53</v>
      </c>
      <c r="K59" s="36" t="s">
        <v>418</v>
      </c>
      <c r="L59" s="36" t="s">
        <v>419</v>
      </c>
      <c r="M59" s="36" t="s">
        <v>420</v>
      </c>
      <c r="N59" s="36" t="s">
        <v>470</v>
      </c>
      <c r="O59" s="38" t="s">
        <v>1156</v>
      </c>
      <c r="P59" s="38" t="s">
        <v>1157</v>
      </c>
      <c r="Q59" s="38" t="s">
        <v>1158</v>
      </c>
      <c r="R59" s="38" t="s">
        <v>1159</v>
      </c>
      <c r="S59" s="38" t="s">
        <v>1160</v>
      </c>
      <c r="T59" s="38" t="s">
        <v>1161</v>
      </c>
      <c r="U59" s="38" t="s">
        <v>1162</v>
      </c>
      <c r="V59" s="36" t="n">
        <v>4</v>
      </c>
      <c r="W59" s="36" t="n">
        <v>0</v>
      </c>
      <c r="X59" s="39" t="s">
        <v>1163</v>
      </c>
      <c r="Y59" s="39" t="s">
        <v>1164</v>
      </c>
      <c r="Z59" s="36" t="s">
        <v>419</v>
      </c>
      <c r="AA59" s="36" t="s">
        <v>418</v>
      </c>
      <c r="AB59" s="39" t="s">
        <v>1165</v>
      </c>
      <c r="AC59" s="40"/>
      <c r="AD59" s="36" t="s">
        <v>432</v>
      </c>
      <c r="AE59" s="36" t="s">
        <v>419</v>
      </c>
      <c r="AF59" s="36" t="s">
        <v>419</v>
      </c>
      <c r="AG59" s="36"/>
      <c r="AH59" s="36" t="s">
        <v>433</v>
      </c>
      <c r="AI59" s="36" t="s">
        <v>434</v>
      </c>
      <c r="AJ59" s="39" t="s">
        <v>609</v>
      </c>
    </row>
    <row r="60" customFormat="false" ht="42" hidden="false" customHeight="true" outlineLevel="0" collapsed="false">
      <c r="A60" s="41" t="s">
        <v>1166</v>
      </c>
      <c r="B60" s="42" t="s">
        <v>1167</v>
      </c>
      <c r="C60" s="42" t="s">
        <v>1049</v>
      </c>
      <c r="D60" s="43" t="s">
        <v>1168</v>
      </c>
      <c r="E60" s="42" t="s">
        <v>500</v>
      </c>
      <c r="F60" s="42" t="s">
        <v>1169</v>
      </c>
      <c r="G60" s="41" t="s">
        <v>500</v>
      </c>
      <c r="H60" s="41" t="s">
        <v>468</v>
      </c>
      <c r="I60" s="43" t="s">
        <v>1170</v>
      </c>
      <c r="J60" s="41" t="s">
        <v>53</v>
      </c>
      <c r="K60" s="41" t="s">
        <v>418</v>
      </c>
      <c r="L60" s="41" t="s">
        <v>419</v>
      </c>
      <c r="M60" s="41" t="s">
        <v>420</v>
      </c>
      <c r="N60" s="41" t="s">
        <v>470</v>
      </c>
      <c r="O60" s="43" t="s">
        <v>1171</v>
      </c>
      <c r="P60" s="38" t="s">
        <v>1172</v>
      </c>
      <c r="Q60" s="38" t="s">
        <v>1173</v>
      </c>
      <c r="R60" s="38" t="s">
        <v>1174</v>
      </c>
      <c r="S60" s="38" t="s">
        <v>1175</v>
      </c>
      <c r="T60" s="38" t="s">
        <v>1176</v>
      </c>
      <c r="U60" s="38" t="s">
        <v>1177</v>
      </c>
      <c r="V60" s="36" t="n">
        <v>4</v>
      </c>
      <c r="W60" s="36" t="n">
        <v>0</v>
      </c>
      <c r="X60" s="39" t="s">
        <v>1178</v>
      </c>
      <c r="Y60" s="39" t="s">
        <v>1179</v>
      </c>
      <c r="Z60" s="36" t="s">
        <v>419</v>
      </c>
      <c r="AA60" s="36" t="s">
        <v>418</v>
      </c>
      <c r="AB60" s="39" t="s">
        <v>1180</v>
      </c>
      <c r="AC60" s="40"/>
      <c r="AD60" s="36" t="s">
        <v>432</v>
      </c>
      <c r="AE60" s="36" t="s">
        <v>419</v>
      </c>
      <c r="AF60" s="36" t="s">
        <v>419</v>
      </c>
      <c r="AG60" s="36"/>
      <c r="AH60" s="36" t="s">
        <v>433</v>
      </c>
      <c r="AI60" s="36" t="s">
        <v>434</v>
      </c>
      <c r="AJ60" s="39" t="s">
        <v>1102</v>
      </c>
    </row>
    <row r="61" customFormat="false" ht="42" hidden="false" customHeight="true" outlineLevel="0" collapsed="false">
      <c r="A61" s="36" t="s">
        <v>1181</v>
      </c>
      <c r="B61" s="37" t="s">
        <v>1182</v>
      </c>
      <c r="C61" s="37" t="s">
        <v>1049</v>
      </c>
      <c r="D61" s="38" t="s">
        <v>1183</v>
      </c>
      <c r="E61" s="37" t="s">
        <v>596</v>
      </c>
      <c r="F61" s="37" t="s">
        <v>1066</v>
      </c>
      <c r="G61" s="36" t="s">
        <v>415</v>
      </c>
      <c r="H61" s="36" t="s">
        <v>468</v>
      </c>
      <c r="I61" s="38" t="s">
        <v>87</v>
      </c>
      <c r="J61" s="36" t="s">
        <v>53</v>
      </c>
      <c r="K61" s="36" t="s">
        <v>419</v>
      </c>
      <c r="L61" s="36" t="s">
        <v>418</v>
      </c>
      <c r="M61" s="36" t="s">
        <v>469</v>
      </c>
      <c r="N61" s="36" t="s">
        <v>470</v>
      </c>
      <c r="O61" s="38" t="s">
        <v>1184</v>
      </c>
      <c r="P61" s="38" t="s">
        <v>1185</v>
      </c>
      <c r="Q61" s="38" t="s">
        <v>1186</v>
      </c>
      <c r="R61" s="38" t="s">
        <v>1187</v>
      </c>
      <c r="S61" s="38" t="s">
        <v>1188</v>
      </c>
      <c r="T61" s="38" t="s">
        <v>1189</v>
      </c>
      <c r="U61" s="38" t="s">
        <v>1190</v>
      </c>
      <c r="V61" s="36" t="n">
        <v>4</v>
      </c>
      <c r="W61" s="36" t="n">
        <v>0</v>
      </c>
      <c r="X61" s="39" t="s">
        <v>1191</v>
      </c>
      <c r="Y61" s="39" t="s">
        <v>1192</v>
      </c>
      <c r="Z61" s="36" t="s">
        <v>419</v>
      </c>
      <c r="AA61" s="36" t="s">
        <v>418</v>
      </c>
      <c r="AB61" s="39" t="s">
        <v>26</v>
      </c>
      <c r="AC61" s="40"/>
      <c r="AD61" s="36" t="s">
        <v>432</v>
      </c>
      <c r="AE61" s="36" t="s">
        <v>419</v>
      </c>
      <c r="AF61" s="36" t="s">
        <v>419</v>
      </c>
      <c r="AG61" s="36"/>
      <c r="AH61" s="36" t="s">
        <v>480</v>
      </c>
      <c r="AI61" s="36" t="s">
        <v>481</v>
      </c>
      <c r="AJ61" s="39" t="s">
        <v>609</v>
      </c>
    </row>
    <row r="62" customFormat="false" ht="42" hidden="false" customHeight="true" outlineLevel="0" collapsed="false">
      <c r="A62" s="41" t="s">
        <v>1193</v>
      </c>
      <c r="B62" s="42" t="s">
        <v>1194</v>
      </c>
      <c r="C62" s="42" t="s">
        <v>1049</v>
      </c>
      <c r="D62" s="43" t="s">
        <v>1195</v>
      </c>
      <c r="E62" s="42" t="s">
        <v>596</v>
      </c>
      <c r="F62" s="42" t="s">
        <v>1051</v>
      </c>
      <c r="G62" s="41" t="s">
        <v>500</v>
      </c>
      <c r="H62" s="41" t="s">
        <v>468</v>
      </c>
      <c r="I62" s="43" t="s">
        <v>87</v>
      </c>
      <c r="J62" s="41" t="s">
        <v>53</v>
      </c>
      <c r="K62" s="41" t="s">
        <v>418</v>
      </c>
      <c r="L62" s="41" t="s">
        <v>418</v>
      </c>
      <c r="M62" s="41" t="s">
        <v>469</v>
      </c>
      <c r="N62" s="41" t="s">
        <v>470</v>
      </c>
      <c r="O62" s="43" t="s">
        <v>1196</v>
      </c>
      <c r="P62" s="38" t="s">
        <v>1197</v>
      </c>
      <c r="Q62" s="38" t="s">
        <v>1198</v>
      </c>
      <c r="R62" s="38" t="s">
        <v>1199</v>
      </c>
      <c r="S62" s="38" t="s">
        <v>1200</v>
      </c>
      <c r="T62" s="38" t="s">
        <v>1201</v>
      </c>
      <c r="U62" s="38" t="s">
        <v>1202</v>
      </c>
      <c r="V62" s="36" t="n">
        <v>4</v>
      </c>
      <c r="W62" s="36" t="n">
        <v>0</v>
      </c>
      <c r="X62" s="39" t="s">
        <v>1203</v>
      </c>
      <c r="Y62" s="39" t="s">
        <v>1204</v>
      </c>
      <c r="Z62" s="36" t="s">
        <v>419</v>
      </c>
      <c r="AA62" s="36" t="s">
        <v>418</v>
      </c>
      <c r="AB62" s="39" t="s">
        <v>26</v>
      </c>
      <c r="AC62" s="40"/>
      <c r="AD62" s="36" t="s">
        <v>432</v>
      </c>
      <c r="AE62" s="36" t="s">
        <v>419</v>
      </c>
      <c r="AF62" s="36" t="s">
        <v>419</v>
      </c>
      <c r="AG62" s="36"/>
      <c r="AH62" s="36" t="s">
        <v>480</v>
      </c>
      <c r="AI62" s="36" t="s">
        <v>481</v>
      </c>
      <c r="AJ62" s="39" t="s">
        <v>609</v>
      </c>
    </row>
    <row r="63" customFormat="false" ht="42" hidden="false" customHeight="true" outlineLevel="0" collapsed="false">
      <c r="A63" s="36" t="s">
        <v>1205</v>
      </c>
      <c r="B63" s="37" t="s">
        <v>1206</v>
      </c>
      <c r="C63" s="37" t="s">
        <v>1207</v>
      </c>
      <c r="D63" s="38" t="s">
        <v>1208</v>
      </c>
      <c r="E63" s="37" t="s">
        <v>500</v>
      </c>
      <c r="F63" s="37" t="s">
        <v>1209</v>
      </c>
      <c r="G63" s="36" t="s">
        <v>500</v>
      </c>
      <c r="H63" s="36" t="s">
        <v>438</v>
      </c>
      <c r="I63" s="38" t="s">
        <v>1210</v>
      </c>
      <c r="J63" s="36" t="s">
        <v>53</v>
      </c>
      <c r="K63" s="36" t="s">
        <v>418</v>
      </c>
      <c r="L63" s="36" t="s">
        <v>419</v>
      </c>
      <c r="M63" s="36" t="s">
        <v>420</v>
      </c>
      <c r="N63" s="36" t="s">
        <v>440</v>
      </c>
      <c r="O63" s="38" t="s">
        <v>1211</v>
      </c>
      <c r="P63" s="38" t="s">
        <v>1212</v>
      </c>
      <c r="Q63" s="38" t="s">
        <v>1213</v>
      </c>
      <c r="R63" s="38" t="s">
        <v>1214</v>
      </c>
      <c r="S63" s="38" t="s">
        <v>1215</v>
      </c>
      <c r="T63" s="38" t="s">
        <v>1216</v>
      </c>
      <c r="U63" s="38" t="s">
        <v>1217</v>
      </c>
      <c r="V63" s="36" t="n">
        <v>6</v>
      </c>
      <c r="W63" s="36" t="n">
        <v>0</v>
      </c>
      <c r="X63" s="39" t="s">
        <v>1218</v>
      </c>
      <c r="Y63" s="39" t="s">
        <v>1219</v>
      </c>
      <c r="Z63" s="36" t="s">
        <v>419</v>
      </c>
      <c r="AA63" s="36" t="s">
        <v>418</v>
      </c>
      <c r="AB63" s="39" t="s">
        <v>1220</v>
      </c>
      <c r="AC63" s="40"/>
      <c r="AD63" s="36" t="s">
        <v>432</v>
      </c>
      <c r="AE63" s="36" t="s">
        <v>418</v>
      </c>
      <c r="AF63" s="36" t="s">
        <v>419</v>
      </c>
      <c r="AG63" s="36"/>
      <c r="AH63" s="36" t="s">
        <v>433</v>
      </c>
      <c r="AI63" s="36" t="s">
        <v>434</v>
      </c>
      <c r="AJ63" s="39" t="s">
        <v>1221</v>
      </c>
    </row>
    <row r="64" customFormat="false" ht="42" hidden="false" customHeight="true" outlineLevel="0" collapsed="false">
      <c r="A64" s="41" t="s">
        <v>1222</v>
      </c>
      <c r="B64" s="42" t="s">
        <v>1223</v>
      </c>
      <c r="C64" s="42" t="s">
        <v>1207</v>
      </c>
      <c r="D64" s="43" t="s">
        <v>1224</v>
      </c>
      <c r="E64" s="42" t="s">
        <v>500</v>
      </c>
      <c r="F64" s="42" t="s">
        <v>1209</v>
      </c>
      <c r="G64" s="41" t="s">
        <v>500</v>
      </c>
      <c r="H64" s="41" t="s">
        <v>438</v>
      </c>
      <c r="I64" s="43" t="s">
        <v>454</v>
      </c>
      <c r="J64" s="41" t="s">
        <v>417</v>
      </c>
      <c r="K64" s="41" t="s">
        <v>419</v>
      </c>
      <c r="L64" s="41" t="s">
        <v>419</v>
      </c>
      <c r="M64" s="41" t="s">
        <v>420</v>
      </c>
      <c r="N64" s="41" t="s">
        <v>440</v>
      </c>
      <c r="O64" s="43" t="s">
        <v>1225</v>
      </c>
      <c r="P64" s="38" t="s">
        <v>1226</v>
      </c>
      <c r="Q64" s="38" t="s">
        <v>1227</v>
      </c>
      <c r="R64" s="38" t="s">
        <v>1228</v>
      </c>
      <c r="S64" s="38" t="s">
        <v>1229</v>
      </c>
      <c r="T64" s="38" t="s">
        <v>1230</v>
      </c>
      <c r="U64" s="38" t="s">
        <v>1231</v>
      </c>
      <c r="V64" s="36" t="n">
        <v>4</v>
      </c>
      <c r="W64" s="36" t="n">
        <v>0</v>
      </c>
      <c r="X64" s="39" t="s">
        <v>1232</v>
      </c>
      <c r="Y64" s="39" t="s">
        <v>1233</v>
      </c>
      <c r="Z64" s="36" t="s">
        <v>419</v>
      </c>
      <c r="AA64" s="36" t="s">
        <v>418</v>
      </c>
      <c r="AB64" s="39" t="s">
        <v>464</v>
      </c>
      <c r="AC64" s="40"/>
      <c r="AD64" s="36" t="s">
        <v>432</v>
      </c>
      <c r="AE64" s="36" t="s">
        <v>419</v>
      </c>
      <c r="AF64" s="36" t="s">
        <v>419</v>
      </c>
      <c r="AG64" s="36"/>
      <c r="AH64" s="36" t="s">
        <v>433</v>
      </c>
      <c r="AI64" s="36" t="s">
        <v>434</v>
      </c>
      <c r="AJ64" s="39" t="s">
        <v>1221</v>
      </c>
    </row>
    <row r="65" customFormat="false" ht="42" hidden="false" customHeight="true" outlineLevel="0" collapsed="false">
      <c r="A65" s="36" t="s">
        <v>1234</v>
      </c>
      <c r="B65" s="37" t="s">
        <v>1235</v>
      </c>
      <c r="C65" s="37" t="s">
        <v>1207</v>
      </c>
      <c r="D65" s="38" t="s">
        <v>1236</v>
      </c>
      <c r="E65" s="37" t="s">
        <v>500</v>
      </c>
      <c r="F65" s="37" t="s">
        <v>1209</v>
      </c>
      <c r="G65" s="36" t="s">
        <v>500</v>
      </c>
      <c r="H65" s="36" t="s">
        <v>438</v>
      </c>
      <c r="I65" s="38" t="s">
        <v>779</v>
      </c>
      <c r="J65" s="36" t="s">
        <v>53</v>
      </c>
      <c r="K65" s="36" t="s">
        <v>419</v>
      </c>
      <c r="L65" s="36" t="s">
        <v>419</v>
      </c>
      <c r="M65" s="36" t="s">
        <v>420</v>
      </c>
      <c r="N65" s="36" t="s">
        <v>440</v>
      </c>
      <c r="O65" s="38" t="s">
        <v>1237</v>
      </c>
      <c r="P65" s="38" t="s">
        <v>1238</v>
      </c>
      <c r="Q65" s="38" t="s">
        <v>1239</v>
      </c>
      <c r="R65" s="38" t="s">
        <v>1240</v>
      </c>
      <c r="S65" s="38" t="s">
        <v>1241</v>
      </c>
      <c r="T65" s="38" t="s">
        <v>1242</v>
      </c>
      <c r="U65" s="38" t="s">
        <v>1243</v>
      </c>
      <c r="V65" s="36" t="n">
        <v>4</v>
      </c>
      <c r="W65" s="36" t="n">
        <v>0</v>
      </c>
      <c r="X65" s="39" t="s">
        <v>1232</v>
      </c>
      <c r="Y65" s="39" t="s">
        <v>1244</v>
      </c>
      <c r="Z65" s="36" t="s">
        <v>419</v>
      </c>
      <c r="AA65" s="36" t="s">
        <v>418</v>
      </c>
      <c r="AB65" s="39" t="s">
        <v>789</v>
      </c>
      <c r="AC65" s="40"/>
      <c r="AD65" s="36" t="s">
        <v>432</v>
      </c>
      <c r="AE65" s="36" t="s">
        <v>418</v>
      </c>
      <c r="AF65" s="36" t="s">
        <v>419</v>
      </c>
      <c r="AG65" s="36"/>
      <c r="AH65" s="36" t="s">
        <v>433</v>
      </c>
      <c r="AI65" s="36" t="s">
        <v>434</v>
      </c>
      <c r="AJ65" s="39" t="s">
        <v>1221</v>
      </c>
    </row>
    <row r="66" customFormat="false" ht="42" hidden="false" customHeight="true" outlineLevel="0" collapsed="false">
      <c r="A66" s="41" t="s">
        <v>1245</v>
      </c>
      <c r="B66" s="42" t="s">
        <v>1246</v>
      </c>
      <c r="C66" s="42" t="s">
        <v>1207</v>
      </c>
      <c r="D66" s="43" t="s">
        <v>1208</v>
      </c>
      <c r="E66" s="42" t="s">
        <v>500</v>
      </c>
      <c r="F66" s="42" t="s">
        <v>1209</v>
      </c>
      <c r="G66" s="41" t="s">
        <v>500</v>
      </c>
      <c r="H66" s="41" t="s">
        <v>78</v>
      </c>
      <c r="I66" s="43" t="s">
        <v>501</v>
      </c>
      <c r="J66" s="41" t="s">
        <v>53</v>
      </c>
      <c r="K66" s="41" t="s">
        <v>418</v>
      </c>
      <c r="L66" s="41" t="s">
        <v>419</v>
      </c>
      <c r="M66" s="41" t="s">
        <v>420</v>
      </c>
      <c r="N66" s="41" t="s">
        <v>440</v>
      </c>
      <c r="O66" s="43" t="s">
        <v>1247</v>
      </c>
      <c r="P66" s="38" t="s">
        <v>1248</v>
      </c>
      <c r="Q66" s="38" t="s">
        <v>1249</v>
      </c>
      <c r="R66" s="38" t="s">
        <v>1250</v>
      </c>
      <c r="S66" s="38" t="s">
        <v>1251</v>
      </c>
      <c r="T66" s="38" t="s">
        <v>1252</v>
      </c>
      <c r="U66" s="38" t="s">
        <v>1253</v>
      </c>
      <c r="V66" s="36" t="n">
        <v>4</v>
      </c>
      <c r="W66" s="36" t="n">
        <v>0</v>
      </c>
      <c r="X66" s="39" t="s">
        <v>1232</v>
      </c>
      <c r="Y66" s="39" t="s">
        <v>1254</v>
      </c>
      <c r="Z66" s="36" t="s">
        <v>419</v>
      </c>
      <c r="AA66" s="36" t="s">
        <v>418</v>
      </c>
      <c r="AB66" s="39" t="s">
        <v>511</v>
      </c>
      <c r="AC66" s="40"/>
      <c r="AD66" s="36" t="s">
        <v>432</v>
      </c>
      <c r="AE66" s="36" t="s">
        <v>418</v>
      </c>
      <c r="AF66" s="36" t="s">
        <v>419</v>
      </c>
      <c r="AG66" s="36"/>
      <c r="AH66" s="36" t="s">
        <v>433</v>
      </c>
      <c r="AI66" s="36" t="s">
        <v>434</v>
      </c>
      <c r="AJ66" s="39" t="s">
        <v>1221</v>
      </c>
    </row>
    <row r="67" customFormat="false" ht="42" hidden="false" customHeight="true" outlineLevel="0" collapsed="false">
      <c r="A67" s="36" t="s">
        <v>1255</v>
      </c>
      <c r="B67" s="37" t="s">
        <v>1256</v>
      </c>
      <c r="C67" s="37" t="s">
        <v>1207</v>
      </c>
      <c r="D67" s="38" t="s">
        <v>1257</v>
      </c>
      <c r="E67" s="37" t="s">
        <v>643</v>
      </c>
      <c r="F67" s="37" t="s">
        <v>1258</v>
      </c>
      <c r="G67" s="36" t="s">
        <v>415</v>
      </c>
      <c r="H67" s="36" t="s">
        <v>468</v>
      </c>
      <c r="I67" s="38" t="s">
        <v>645</v>
      </c>
      <c r="J67" s="36" t="s">
        <v>528</v>
      </c>
      <c r="K67" s="36" t="s">
        <v>418</v>
      </c>
      <c r="L67" s="36" t="s">
        <v>419</v>
      </c>
      <c r="M67" s="36" t="s">
        <v>420</v>
      </c>
      <c r="N67" s="36" t="s">
        <v>421</v>
      </c>
      <c r="O67" s="38" t="s">
        <v>1259</v>
      </c>
      <c r="P67" s="38" t="s">
        <v>1260</v>
      </c>
      <c r="Q67" s="38" t="s">
        <v>1261</v>
      </c>
      <c r="R67" s="38" t="s">
        <v>1262</v>
      </c>
      <c r="S67" s="38" t="s">
        <v>1241</v>
      </c>
      <c r="T67" s="38" t="s">
        <v>1263</v>
      </c>
      <c r="U67" s="38" t="s">
        <v>1264</v>
      </c>
      <c r="V67" s="36" t="n">
        <v>5</v>
      </c>
      <c r="W67" s="36" t="n">
        <v>2</v>
      </c>
      <c r="X67" s="39" t="s">
        <v>1265</v>
      </c>
      <c r="Y67" s="39" t="s">
        <v>1266</v>
      </c>
      <c r="Z67" s="36" t="s">
        <v>418</v>
      </c>
      <c r="AA67" s="36" t="s">
        <v>418</v>
      </c>
      <c r="AB67" s="39" t="s">
        <v>655</v>
      </c>
      <c r="AC67" s="40"/>
      <c r="AD67" s="36" t="s">
        <v>432</v>
      </c>
      <c r="AE67" s="36" t="s">
        <v>418</v>
      </c>
      <c r="AF67" s="36" t="s">
        <v>419</v>
      </c>
      <c r="AG67" s="36"/>
      <c r="AH67" s="36" t="s">
        <v>433</v>
      </c>
      <c r="AI67" s="36" t="s">
        <v>434</v>
      </c>
      <c r="AJ67" s="39" t="s">
        <v>656</v>
      </c>
    </row>
    <row r="68" customFormat="false" ht="42" hidden="false" customHeight="true" outlineLevel="0" collapsed="false">
      <c r="A68" s="41" t="s">
        <v>1267</v>
      </c>
      <c r="B68" s="42" t="s">
        <v>1268</v>
      </c>
      <c r="C68" s="42" t="s">
        <v>1207</v>
      </c>
      <c r="D68" s="43" t="s">
        <v>1208</v>
      </c>
      <c r="E68" s="42" t="s">
        <v>500</v>
      </c>
      <c r="F68" s="42" t="s">
        <v>1209</v>
      </c>
      <c r="G68" s="41" t="s">
        <v>500</v>
      </c>
      <c r="H68" s="41" t="s">
        <v>468</v>
      </c>
      <c r="I68" s="43" t="s">
        <v>856</v>
      </c>
      <c r="J68" s="41" t="s">
        <v>53</v>
      </c>
      <c r="K68" s="41" t="s">
        <v>419</v>
      </c>
      <c r="L68" s="41" t="s">
        <v>419</v>
      </c>
      <c r="M68" s="41" t="s">
        <v>420</v>
      </c>
      <c r="N68" s="41" t="s">
        <v>470</v>
      </c>
      <c r="O68" s="43" t="s">
        <v>1269</v>
      </c>
      <c r="P68" s="38" t="s">
        <v>1270</v>
      </c>
      <c r="Q68" s="38" t="s">
        <v>1271</v>
      </c>
      <c r="R68" s="38" t="s">
        <v>1272</v>
      </c>
      <c r="S68" s="38" t="s">
        <v>1273</v>
      </c>
      <c r="T68" s="38" t="s">
        <v>1274</v>
      </c>
      <c r="U68" s="38" t="s">
        <v>1275</v>
      </c>
      <c r="V68" s="36" t="n">
        <v>4</v>
      </c>
      <c r="W68" s="36" t="n">
        <v>0</v>
      </c>
      <c r="X68" s="39" t="s">
        <v>1276</v>
      </c>
      <c r="Y68" s="39" t="s">
        <v>1277</v>
      </c>
      <c r="Z68" s="36" t="s">
        <v>419</v>
      </c>
      <c r="AA68" s="36" t="s">
        <v>418</v>
      </c>
      <c r="AB68" s="39" t="s">
        <v>865</v>
      </c>
      <c r="AC68" s="40"/>
      <c r="AD68" s="36" t="s">
        <v>432</v>
      </c>
      <c r="AE68" s="36" t="s">
        <v>418</v>
      </c>
      <c r="AF68" s="36" t="s">
        <v>419</v>
      </c>
      <c r="AG68" s="36"/>
      <c r="AH68" s="36" t="s">
        <v>433</v>
      </c>
      <c r="AI68" s="36" t="s">
        <v>434</v>
      </c>
      <c r="AJ68" s="39" t="s">
        <v>1221</v>
      </c>
    </row>
    <row r="69" customFormat="false" ht="42" hidden="false" customHeight="true" outlineLevel="0" collapsed="false">
      <c r="A69" s="36" t="s">
        <v>1278</v>
      </c>
      <c r="B69" s="37" t="s">
        <v>1279</v>
      </c>
      <c r="C69" s="37" t="s">
        <v>1207</v>
      </c>
      <c r="D69" s="38" t="s">
        <v>1257</v>
      </c>
      <c r="E69" s="37" t="s">
        <v>613</v>
      </c>
      <c r="F69" s="37" t="s">
        <v>1258</v>
      </c>
      <c r="G69" s="36" t="s">
        <v>415</v>
      </c>
      <c r="H69" s="36" t="s">
        <v>468</v>
      </c>
      <c r="I69" s="38" t="s">
        <v>687</v>
      </c>
      <c r="J69" s="36" t="s">
        <v>53</v>
      </c>
      <c r="K69" s="36" t="s">
        <v>418</v>
      </c>
      <c r="L69" s="36" t="s">
        <v>418</v>
      </c>
      <c r="M69" s="36" t="s">
        <v>469</v>
      </c>
      <c r="N69" s="36" t="s">
        <v>470</v>
      </c>
      <c r="O69" s="38" t="s">
        <v>1280</v>
      </c>
      <c r="P69" s="38" t="s">
        <v>1281</v>
      </c>
      <c r="Q69" s="38" t="s">
        <v>1282</v>
      </c>
      <c r="R69" s="38" t="s">
        <v>1283</v>
      </c>
      <c r="S69" s="38" t="s">
        <v>692</v>
      </c>
      <c r="T69" s="38" t="s">
        <v>1284</v>
      </c>
      <c r="U69" s="38" t="s">
        <v>1285</v>
      </c>
      <c r="V69" s="36" t="n">
        <v>5</v>
      </c>
      <c r="W69" s="36" t="n">
        <v>0</v>
      </c>
      <c r="X69" s="39" t="s">
        <v>1286</v>
      </c>
      <c r="Y69" s="39" t="s">
        <v>1287</v>
      </c>
      <c r="Z69" s="36" t="s">
        <v>419</v>
      </c>
      <c r="AA69" s="36" t="s">
        <v>418</v>
      </c>
      <c r="AB69" s="39" t="s">
        <v>697</v>
      </c>
      <c r="AC69" s="40"/>
      <c r="AD69" s="36" t="s">
        <v>432</v>
      </c>
      <c r="AE69" s="36" t="s">
        <v>418</v>
      </c>
      <c r="AF69" s="36" t="s">
        <v>419</v>
      </c>
      <c r="AG69" s="36"/>
      <c r="AH69" s="36" t="s">
        <v>480</v>
      </c>
      <c r="AI69" s="36" t="s">
        <v>481</v>
      </c>
      <c r="AJ69" s="39" t="s">
        <v>639</v>
      </c>
    </row>
    <row r="70" customFormat="false" ht="42" hidden="false" customHeight="true" outlineLevel="0" collapsed="false">
      <c r="A70" s="41" t="s">
        <v>1288</v>
      </c>
      <c r="B70" s="42" t="s">
        <v>1289</v>
      </c>
      <c r="C70" s="42" t="s">
        <v>1290</v>
      </c>
      <c r="D70" s="43" t="s">
        <v>1291</v>
      </c>
      <c r="E70" s="42" t="s">
        <v>413</v>
      </c>
      <c r="F70" s="42" t="s">
        <v>1292</v>
      </c>
      <c r="G70" s="41" t="s">
        <v>415</v>
      </c>
      <c r="H70" s="41" t="s">
        <v>78</v>
      </c>
      <c r="I70" s="43" t="s">
        <v>416</v>
      </c>
      <c r="J70" s="41" t="s">
        <v>417</v>
      </c>
      <c r="K70" s="41" t="s">
        <v>418</v>
      </c>
      <c r="L70" s="41" t="s">
        <v>419</v>
      </c>
      <c r="M70" s="41" t="s">
        <v>420</v>
      </c>
      <c r="N70" s="41" t="s">
        <v>421</v>
      </c>
      <c r="O70" s="43" t="s">
        <v>1293</v>
      </c>
      <c r="P70" s="38" t="s">
        <v>1294</v>
      </c>
      <c r="Q70" s="38" t="s">
        <v>1295</v>
      </c>
      <c r="R70" s="38" t="s">
        <v>1296</v>
      </c>
      <c r="S70" s="38" t="s">
        <v>1297</v>
      </c>
      <c r="T70" s="38" t="s">
        <v>1298</v>
      </c>
      <c r="U70" s="38" t="s">
        <v>1299</v>
      </c>
      <c r="V70" s="36" t="n">
        <v>6</v>
      </c>
      <c r="W70" s="36" t="n">
        <v>1</v>
      </c>
      <c r="X70" s="39" t="s">
        <v>1300</v>
      </c>
      <c r="Y70" s="39" t="s">
        <v>1301</v>
      </c>
      <c r="Z70" s="36" t="s">
        <v>418</v>
      </c>
      <c r="AA70" s="36" t="s">
        <v>419</v>
      </c>
      <c r="AB70" s="39" t="s">
        <v>431</v>
      </c>
      <c r="AC70" s="40"/>
      <c r="AD70" s="36" t="s">
        <v>432</v>
      </c>
      <c r="AE70" s="36" t="s">
        <v>418</v>
      </c>
      <c r="AF70" s="36" t="s">
        <v>419</v>
      </c>
      <c r="AG70" s="36"/>
      <c r="AH70" s="36" t="s">
        <v>433</v>
      </c>
      <c r="AI70" s="36" t="s">
        <v>434</v>
      </c>
      <c r="AJ70" s="39" t="s">
        <v>435</v>
      </c>
    </row>
    <row r="71" customFormat="false" ht="42" hidden="false" customHeight="true" outlineLevel="0" collapsed="false">
      <c r="A71" s="36" t="s">
        <v>1302</v>
      </c>
      <c r="B71" s="37" t="s">
        <v>1303</v>
      </c>
      <c r="C71" s="37" t="s">
        <v>1290</v>
      </c>
      <c r="D71" s="38" t="s">
        <v>1304</v>
      </c>
      <c r="E71" s="37" t="s">
        <v>500</v>
      </c>
      <c r="F71" s="37" t="s">
        <v>1305</v>
      </c>
      <c r="G71" s="36" t="s">
        <v>500</v>
      </c>
      <c r="H71" s="36" t="s">
        <v>78</v>
      </c>
      <c r="I71" s="38" t="s">
        <v>820</v>
      </c>
      <c r="J71" s="36" t="s">
        <v>53</v>
      </c>
      <c r="K71" s="36" t="s">
        <v>418</v>
      </c>
      <c r="L71" s="36" t="s">
        <v>419</v>
      </c>
      <c r="M71" s="36" t="s">
        <v>420</v>
      </c>
      <c r="N71" s="36" t="s">
        <v>440</v>
      </c>
      <c r="O71" s="38" t="s">
        <v>1306</v>
      </c>
      <c r="P71" s="38" t="s">
        <v>1307</v>
      </c>
      <c r="Q71" s="38" t="s">
        <v>1308</v>
      </c>
      <c r="R71" s="38" t="s">
        <v>1309</v>
      </c>
      <c r="S71" s="38" t="s">
        <v>1310</v>
      </c>
      <c r="T71" s="38" t="s">
        <v>1311</v>
      </c>
      <c r="U71" s="38" t="s">
        <v>1312</v>
      </c>
      <c r="V71" s="36" t="n">
        <v>5</v>
      </c>
      <c r="W71" s="36" t="n">
        <v>0</v>
      </c>
      <c r="X71" s="39" t="s">
        <v>1313</v>
      </c>
      <c r="Y71" s="39" t="s">
        <v>1314</v>
      </c>
      <c r="Z71" s="36" t="s">
        <v>419</v>
      </c>
      <c r="AA71" s="36" t="s">
        <v>418</v>
      </c>
      <c r="AB71" s="39" t="s">
        <v>830</v>
      </c>
      <c r="AC71" s="40"/>
      <c r="AD71" s="36" t="s">
        <v>432</v>
      </c>
      <c r="AE71" s="36" t="s">
        <v>418</v>
      </c>
      <c r="AF71" s="36" t="s">
        <v>419</v>
      </c>
      <c r="AG71" s="36"/>
      <c r="AH71" s="36" t="s">
        <v>433</v>
      </c>
      <c r="AI71" s="36" t="s">
        <v>434</v>
      </c>
      <c r="AJ71" s="39" t="s">
        <v>1221</v>
      </c>
    </row>
    <row r="72" customFormat="false" ht="42" hidden="false" customHeight="true" outlineLevel="0" collapsed="false">
      <c r="A72" s="41" t="s">
        <v>1315</v>
      </c>
      <c r="B72" s="42" t="s">
        <v>1316</v>
      </c>
      <c r="C72" s="42" t="s">
        <v>1290</v>
      </c>
      <c r="D72" s="43" t="s">
        <v>1317</v>
      </c>
      <c r="E72" s="42" t="s">
        <v>500</v>
      </c>
      <c r="F72" s="42" t="s">
        <v>1305</v>
      </c>
      <c r="G72" s="41" t="s">
        <v>500</v>
      </c>
      <c r="H72" s="41" t="s">
        <v>438</v>
      </c>
      <c r="I72" s="43" t="s">
        <v>501</v>
      </c>
      <c r="J72" s="41" t="s">
        <v>53</v>
      </c>
      <c r="K72" s="41" t="s">
        <v>418</v>
      </c>
      <c r="L72" s="41" t="s">
        <v>419</v>
      </c>
      <c r="M72" s="41" t="s">
        <v>420</v>
      </c>
      <c r="N72" s="41" t="s">
        <v>440</v>
      </c>
      <c r="O72" s="43" t="s">
        <v>1318</v>
      </c>
      <c r="P72" s="38" t="s">
        <v>1319</v>
      </c>
      <c r="Q72" s="38" t="s">
        <v>1320</v>
      </c>
      <c r="R72" s="38" t="s">
        <v>1321</v>
      </c>
      <c r="S72" s="38" t="s">
        <v>1322</v>
      </c>
      <c r="T72" s="38" t="s">
        <v>1323</v>
      </c>
      <c r="U72" s="38" t="s">
        <v>1324</v>
      </c>
      <c r="V72" s="36" t="n">
        <v>5</v>
      </c>
      <c r="W72" s="36" t="n">
        <v>0</v>
      </c>
      <c r="X72" s="39" t="s">
        <v>1325</v>
      </c>
      <c r="Y72" s="39" t="s">
        <v>1326</v>
      </c>
      <c r="Z72" s="36" t="s">
        <v>419</v>
      </c>
      <c r="AA72" s="36" t="s">
        <v>418</v>
      </c>
      <c r="AB72" s="39" t="s">
        <v>511</v>
      </c>
      <c r="AC72" s="40"/>
      <c r="AD72" s="36" t="s">
        <v>432</v>
      </c>
      <c r="AE72" s="36" t="s">
        <v>418</v>
      </c>
      <c r="AF72" s="36" t="s">
        <v>419</v>
      </c>
      <c r="AG72" s="36"/>
      <c r="AH72" s="36" t="s">
        <v>433</v>
      </c>
      <c r="AI72" s="36" t="s">
        <v>434</v>
      </c>
      <c r="AJ72" s="39" t="s">
        <v>1221</v>
      </c>
    </row>
    <row r="73" customFormat="false" ht="42" hidden="false" customHeight="true" outlineLevel="0" collapsed="false">
      <c r="A73" s="36" t="s">
        <v>1327</v>
      </c>
      <c r="B73" s="37" t="s">
        <v>1328</v>
      </c>
      <c r="C73" s="37" t="s">
        <v>1290</v>
      </c>
      <c r="D73" s="38" t="s">
        <v>1304</v>
      </c>
      <c r="E73" s="37" t="s">
        <v>500</v>
      </c>
      <c r="F73" s="37" t="s">
        <v>1305</v>
      </c>
      <c r="G73" s="36" t="s">
        <v>500</v>
      </c>
      <c r="H73" s="36" t="s">
        <v>438</v>
      </c>
      <c r="I73" s="38" t="s">
        <v>1329</v>
      </c>
      <c r="J73" s="36" t="s">
        <v>417</v>
      </c>
      <c r="K73" s="36" t="s">
        <v>418</v>
      </c>
      <c r="L73" s="36" t="s">
        <v>419</v>
      </c>
      <c r="M73" s="36" t="s">
        <v>420</v>
      </c>
      <c r="N73" s="36" t="s">
        <v>440</v>
      </c>
      <c r="O73" s="38" t="s">
        <v>1330</v>
      </c>
      <c r="P73" s="38" t="s">
        <v>1331</v>
      </c>
      <c r="Q73" s="38" t="s">
        <v>1332</v>
      </c>
      <c r="R73" s="38" t="s">
        <v>1333</v>
      </c>
      <c r="S73" s="38" t="s">
        <v>1334</v>
      </c>
      <c r="T73" s="38" t="s">
        <v>1335</v>
      </c>
      <c r="U73" s="38" t="s">
        <v>1336</v>
      </c>
      <c r="V73" s="36" t="n">
        <v>5</v>
      </c>
      <c r="W73" s="36" t="n">
        <v>0</v>
      </c>
      <c r="X73" s="39" t="s">
        <v>1337</v>
      </c>
      <c r="Y73" s="39" t="s">
        <v>1338</v>
      </c>
      <c r="Z73" s="36" t="s">
        <v>419</v>
      </c>
      <c r="AA73" s="36" t="s">
        <v>418</v>
      </c>
      <c r="AB73" s="39" t="s">
        <v>1339</v>
      </c>
      <c r="AC73" s="40"/>
      <c r="AD73" s="36" t="s">
        <v>432</v>
      </c>
      <c r="AE73" s="36" t="s">
        <v>419</v>
      </c>
      <c r="AF73" s="36" t="s">
        <v>419</v>
      </c>
      <c r="AG73" s="36"/>
      <c r="AH73" s="36" t="s">
        <v>433</v>
      </c>
      <c r="AI73" s="36" t="s">
        <v>434</v>
      </c>
      <c r="AJ73" s="39" t="s">
        <v>1221</v>
      </c>
    </row>
    <row r="74" customFormat="false" ht="42" hidden="false" customHeight="true" outlineLevel="0" collapsed="false">
      <c r="A74" s="41" t="s">
        <v>1340</v>
      </c>
      <c r="B74" s="42" t="s">
        <v>1341</v>
      </c>
      <c r="C74" s="42" t="s">
        <v>1290</v>
      </c>
      <c r="D74" s="43" t="s">
        <v>1290</v>
      </c>
      <c r="E74" s="42" t="s">
        <v>526</v>
      </c>
      <c r="F74" s="42" t="s">
        <v>1292</v>
      </c>
      <c r="G74" s="41" t="s">
        <v>415</v>
      </c>
      <c r="H74" s="41" t="s">
        <v>468</v>
      </c>
      <c r="I74" s="43" t="s">
        <v>1342</v>
      </c>
      <c r="J74" s="41" t="s">
        <v>53</v>
      </c>
      <c r="K74" s="41" t="s">
        <v>418</v>
      </c>
      <c r="L74" s="41" t="s">
        <v>418</v>
      </c>
      <c r="M74" s="41" t="s">
        <v>469</v>
      </c>
      <c r="N74" s="41" t="s">
        <v>470</v>
      </c>
      <c r="O74" s="43" t="s">
        <v>1343</v>
      </c>
      <c r="P74" s="38" t="s">
        <v>1344</v>
      </c>
      <c r="Q74" s="38" t="s">
        <v>1345</v>
      </c>
      <c r="R74" s="38" t="s">
        <v>1346</v>
      </c>
      <c r="S74" s="38" t="s">
        <v>849</v>
      </c>
      <c r="T74" s="38" t="s">
        <v>1347</v>
      </c>
      <c r="U74" s="38" t="s">
        <v>1348</v>
      </c>
      <c r="V74" s="36" t="n">
        <v>4</v>
      </c>
      <c r="W74" s="36" t="n">
        <v>0</v>
      </c>
      <c r="X74" s="39" t="s">
        <v>1349</v>
      </c>
      <c r="Y74" s="39" t="s">
        <v>1350</v>
      </c>
      <c r="Z74" s="36" t="s">
        <v>419</v>
      </c>
      <c r="AA74" s="36" t="s">
        <v>418</v>
      </c>
      <c r="AB74" s="39" t="s">
        <v>1351</v>
      </c>
      <c r="AC74" s="40"/>
      <c r="AD74" s="36" t="s">
        <v>432</v>
      </c>
      <c r="AE74" s="36" t="s">
        <v>418</v>
      </c>
      <c r="AF74" s="36" t="s">
        <v>419</v>
      </c>
      <c r="AG74" s="36"/>
      <c r="AH74" s="36" t="s">
        <v>480</v>
      </c>
      <c r="AI74" s="36" t="s">
        <v>481</v>
      </c>
      <c r="AJ74" s="39" t="s">
        <v>539</v>
      </c>
    </row>
    <row r="75" customFormat="false" ht="42" hidden="false" customHeight="true" outlineLevel="0" collapsed="false">
      <c r="A75" s="36" t="s">
        <v>1352</v>
      </c>
      <c r="B75" s="37" t="s">
        <v>1353</v>
      </c>
      <c r="C75" s="37" t="s">
        <v>1290</v>
      </c>
      <c r="D75" s="38" t="s">
        <v>1354</v>
      </c>
      <c r="E75" s="37" t="s">
        <v>413</v>
      </c>
      <c r="F75" s="37" t="s">
        <v>1292</v>
      </c>
      <c r="G75" s="36" t="s">
        <v>415</v>
      </c>
      <c r="H75" s="36" t="s">
        <v>468</v>
      </c>
      <c r="I75" s="38" t="s">
        <v>87</v>
      </c>
      <c r="J75" s="36" t="s">
        <v>53</v>
      </c>
      <c r="K75" s="36" t="s">
        <v>418</v>
      </c>
      <c r="L75" s="36" t="s">
        <v>418</v>
      </c>
      <c r="M75" s="36" t="s">
        <v>469</v>
      </c>
      <c r="N75" s="36" t="s">
        <v>470</v>
      </c>
      <c r="O75" s="38" t="s">
        <v>1355</v>
      </c>
      <c r="P75" s="38" t="s">
        <v>1356</v>
      </c>
      <c r="Q75" s="38" t="s">
        <v>1357</v>
      </c>
      <c r="R75" s="38" t="s">
        <v>1358</v>
      </c>
      <c r="S75" s="38" t="s">
        <v>1359</v>
      </c>
      <c r="T75" s="38" t="s">
        <v>1360</v>
      </c>
      <c r="U75" s="38" t="s">
        <v>1361</v>
      </c>
      <c r="V75" s="36" t="n">
        <v>4</v>
      </c>
      <c r="W75" s="36" t="n">
        <v>0</v>
      </c>
      <c r="X75" s="39" t="s">
        <v>1362</v>
      </c>
      <c r="Y75" s="39" t="s">
        <v>1363</v>
      </c>
      <c r="Z75" s="36" t="s">
        <v>419</v>
      </c>
      <c r="AA75" s="36" t="s">
        <v>418</v>
      </c>
      <c r="AB75" s="39" t="s">
        <v>26</v>
      </c>
      <c r="AC75" s="40"/>
      <c r="AD75" s="36" t="s">
        <v>432</v>
      </c>
      <c r="AE75" s="36" t="s">
        <v>418</v>
      </c>
      <c r="AF75" s="36" t="s">
        <v>419</v>
      </c>
      <c r="AG75" s="36"/>
      <c r="AH75" s="36" t="s">
        <v>480</v>
      </c>
      <c r="AI75" s="36" t="s">
        <v>481</v>
      </c>
      <c r="AJ75" s="39" t="s">
        <v>435</v>
      </c>
    </row>
    <row r="76" customFormat="false" ht="42" hidden="false" customHeight="true" outlineLevel="0" collapsed="false">
      <c r="A76" s="41" t="s">
        <v>1364</v>
      </c>
      <c r="B76" s="42" t="s">
        <v>1365</v>
      </c>
      <c r="C76" s="42" t="s">
        <v>1290</v>
      </c>
      <c r="D76" s="43" t="s">
        <v>1317</v>
      </c>
      <c r="E76" s="42" t="s">
        <v>500</v>
      </c>
      <c r="F76" s="42" t="s">
        <v>1305</v>
      </c>
      <c r="G76" s="41" t="s">
        <v>500</v>
      </c>
      <c r="H76" s="41" t="s">
        <v>468</v>
      </c>
      <c r="I76" s="43" t="s">
        <v>738</v>
      </c>
      <c r="J76" s="41" t="s">
        <v>53</v>
      </c>
      <c r="K76" s="41" t="s">
        <v>418</v>
      </c>
      <c r="L76" s="41" t="s">
        <v>419</v>
      </c>
      <c r="M76" s="41" t="s">
        <v>420</v>
      </c>
      <c r="N76" s="41" t="s">
        <v>470</v>
      </c>
      <c r="O76" s="43" t="s">
        <v>1366</v>
      </c>
      <c r="P76" s="38" t="s">
        <v>1367</v>
      </c>
      <c r="Q76" s="38" t="s">
        <v>1368</v>
      </c>
      <c r="R76" s="38" t="s">
        <v>1369</v>
      </c>
      <c r="S76" s="38" t="s">
        <v>1370</v>
      </c>
      <c r="T76" s="38" t="s">
        <v>1371</v>
      </c>
      <c r="U76" s="38" t="s">
        <v>1372</v>
      </c>
      <c r="V76" s="36" t="n">
        <v>4</v>
      </c>
      <c r="W76" s="36" t="n">
        <v>0</v>
      </c>
      <c r="X76" s="39" t="s">
        <v>1373</v>
      </c>
      <c r="Y76" s="39" t="s">
        <v>1374</v>
      </c>
      <c r="Z76" s="36" t="s">
        <v>419</v>
      </c>
      <c r="AA76" s="36" t="s">
        <v>418</v>
      </c>
      <c r="AB76" s="39" t="s">
        <v>748</v>
      </c>
      <c r="AC76" s="40"/>
      <c r="AD76" s="36" t="s">
        <v>432</v>
      </c>
      <c r="AE76" s="36" t="s">
        <v>418</v>
      </c>
      <c r="AF76" s="36" t="s">
        <v>419</v>
      </c>
      <c r="AG76" s="36"/>
      <c r="AH76" s="36" t="s">
        <v>433</v>
      </c>
      <c r="AI76" s="36" t="s">
        <v>434</v>
      </c>
      <c r="AJ76" s="39" t="s">
        <v>1221</v>
      </c>
    </row>
    <row r="77" customFormat="false" ht="42" hidden="false" customHeight="true" outlineLevel="0" collapsed="false">
      <c r="A77" s="36" t="s">
        <v>1375</v>
      </c>
      <c r="B77" s="37" t="s">
        <v>1376</v>
      </c>
      <c r="C77" s="37" t="s">
        <v>1377</v>
      </c>
      <c r="D77" s="38" t="s">
        <v>1378</v>
      </c>
      <c r="E77" s="37" t="s">
        <v>1379</v>
      </c>
      <c r="F77" s="37" t="s">
        <v>1380</v>
      </c>
      <c r="G77" s="36" t="s">
        <v>500</v>
      </c>
      <c r="H77" s="36" t="s">
        <v>468</v>
      </c>
      <c r="I77" s="38" t="s">
        <v>87</v>
      </c>
      <c r="J77" s="36" t="s">
        <v>53</v>
      </c>
      <c r="K77" s="36" t="s">
        <v>418</v>
      </c>
      <c r="L77" s="36" t="s">
        <v>418</v>
      </c>
      <c r="M77" s="36" t="s">
        <v>1022</v>
      </c>
      <c r="N77" s="36" t="s">
        <v>470</v>
      </c>
      <c r="O77" s="38" t="s">
        <v>1381</v>
      </c>
      <c r="P77" s="38" t="s">
        <v>1382</v>
      </c>
      <c r="Q77" s="38" t="s">
        <v>1383</v>
      </c>
      <c r="R77" s="38" t="s">
        <v>1384</v>
      </c>
      <c r="S77" s="38" t="s">
        <v>1385</v>
      </c>
      <c r="T77" s="38" t="s">
        <v>1386</v>
      </c>
      <c r="U77" s="38" t="s">
        <v>1387</v>
      </c>
      <c r="V77" s="36" t="n">
        <v>5</v>
      </c>
      <c r="W77" s="36" t="n">
        <v>0</v>
      </c>
      <c r="X77" s="39" t="s">
        <v>1388</v>
      </c>
      <c r="Y77" s="39" t="s">
        <v>1389</v>
      </c>
      <c r="Z77" s="36" t="s">
        <v>419</v>
      </c>
      <c r="AA77" s="36" t="s">
        <v>418</v>
      </c>
      <c r="AB77" s="39" t="s">
        <v>26</v>
      </c>
      <c r="AC77" s="40"/>
      <c r="AD77" s="36" t="s">
        <v>432</v>
      </c>
      <c r="AE77" s="36" t="s">
        <v>419</v>
      </c>
      <c r="AF77" s="36" t="s">
        <v>419</v>
      </c>
      <c r="AG77" s="36"/>
      <c r="AH77" s="36" t="s">
        <v>1033</v>
      </c>
      <c r="AI77" s="36" t="s">
        <v>1034</v>
      </c>
      <c r="AJ77" s="44" t="s">
        <v>1390</v>
      </c>
    </row>
    <row r="78" customFormat="false" ht="42" hidden="false" customHeight="true" outlineLevel="0" collapsed="false">
      <c r="A78" s="41" t="s">
        <v>1391</v>
      </c>
      <c r="B78" s="42" t="s">
        <v>1392</v>
      </c>
      <c r="C78" s="42" t="s">
        <v>1377</v>
      </c>
      <c r="D78" s="43" t="s">
        <v>1393</v>
      </c>
      <c r="E78" s="42" t="s">
        <v>1379</v>
      </c>
      <c r="F78" s="42" t="s">
        <v>1380</v>
      </c>
      <c r="G78" s="41" t="s">
        <v>500</v>
      </c>
      <c r="H78" s="41" t="s">
        <v>468</v>
      </c>
      <c r="I78" s="43" t="s">
        <v>87</v>
      </c>
      <c r="J78" s="41" t="s">
        <v>53</v>
      </c>
      <c r="K78" s="41" t="s">
        <v>418</v>
      </c>
      <c r="L78" s="41" t="s">
        <v>418</v>
      </c>
      <c r="M78" s="41" t="s">
        <v>469</v>
      </c>
      <c r="N78" s="41" t="s">
        <v>470</v>
      </c>
      <c r="O78" s="43" t="s">
        <v>1394</v>
      </c>
      <c r="P78" s="38" t="s">
        <v>1395</v>
      </c>
      <c r="Q78" s="38" t="s">
        <v>1396</v>
      </c>
      <c r="R78" s="38" t="s">
        <v>1397</v>
      </c>
      <c r="S78" s="38" t="s">
        <v>1398</v>
      </c>
      <c r="T78" s="38" t="s">
        <v>1399</v>
      </c>
      <c r="U78" s="38" t="s">
        <v>1400</v>
      </c>
      <c r="V78" s="36" t="n">
        <v>4</v>
      </c>
      <c r="W78" s="36" t="n">
        <v>0</v>
      </c>
      <c r="X78" s="39" t="s">
        <v>1401</v>
      </c>
      <c r="Y78" s="39" t="s">
        <v>1402</v>
      </c>
      <c r="Z78" s="36" t="s">
        <v>419</v>
      </c>
      <c r="AA78" s="36" t="s">
        <v>418</v>
      </c>
      <c r="AB78" s="39" t="s">
        <v>26</v>
      </c>
      <c r="AC78" s="40"/>
      <c r="AD78" s="36" t="s">
        <v>432</v>
      </c>
      <c r="AE78" s="36" t="s">
        <v>419</v>
      </c>
      <c r="AF78" s="36" t="s">
        <v>419</v>
      </c>
      <c r="AG78" s="36"/>
      <c r="AH78" s="36" t="s">
        <v>480</v>
      </c>
      <c r="AI78" s="36" t="s">
        <v>481</v>
      </c>
      <c r="AJ78" s="44" t="s">
        <v>1390</v>
      </c>
    </row>
    <row r="79" customFormat="false" ht="42" hidden="false" customHeight="true" outlineLevel="0" collapsed="false">
      <c r="A79" s="36" t="s">
        <v>1403</v>
      </c>
      <c r="B79" s="37" t="s">
        <v>1404</v>
      </c>
      <c r="C79" s="37" t="s">
        <v>1377</v>
      </c>
      <c r="D79" s="38" t="s">
        <v>1405</v>
      </c>
      <c r="E79" s="37" t="s">
        <v>1379</v>
      </c>
      <c r="F79" s="37" t="s">
        <v>1380</v>
      </c>
      <c r="G79" s="36" t="s">
        <v>500</v>
      </c>
      <c r="H79" s="36" t="s">
        <v>438</v>
      </c>
      <c r="I79" s="38" t="s">
        <v>645</v>
      </c>
      <c r="J79" s="36" t="s">
        <v>528</v>
      </c>
      <c r="K79" s="36" t="s">
        <v>418</v>
      </c>
      <c r="L79" s="36" t="s">
        <v>418</v>
      </c>
      <c r="M79" s="36" t="s">
        <v>469</v>
      </c>
      <c r="N79" s="36" t="s">
        <v>440</v>
      </c>
      <c r="O79" s="38" t="s">
        <v>1406</v>
      </c>
      <c r="P79" s="38" t="s">
        <v>1407</v>
      </c>
      <c r="Q79" s="38" t="s">
        <v>1408</v>
      </c>
      <c r="R79" s="38" t="s">
        <v>1409</v>
      </c>
      <c r="S79" s="38" t="s">
        <v>1410</v>
      </c>
      <c r="T79" s="38" t="s">
        <v>1411</v>
      </c>
      <c r="U79" s="38" t="s">
        <v>1412</v>
      </c>
      <c r="V79" s="36" t="n">
        <v>5</v>
      </c>
      <c r="W79" s="36" t="n">
        <v>2</v>
      </c>
      <c r="X79" s="39" t="s">
        <v>1413</v>
      </c>
      <c r="Y79" s="39" t="s">
        <v>1414</v>
      </c>
      <c r="Z79" s="36" t="s">
        <v>418</v>
      </c>
      <c r="AA79" s="36" t="s">
        <v>418</v>
      </c>
      <c r="AB79" s="39" t="s">
        <v>655</v>
      </c>
      <c r="AC79" s="40"/>
      <c r="AD79" s="36" t="s">
        <v>432</v>
      </c>
      <c r="AE79" s="36" t="s">
        <v>418</v>
      </c>
      <c r="AF79" s="36" t="s">
        <v>419</v>
      </c>
      <c r="AG79" s="36"/>
      <c r="AH79" s="36" t="s">
        <v>480</v>
      </c>
      <c r="AI79" s="36" t="s">
        <v>481</v>
      </c>
      <c r="AJ79" s="44" t="s">
        <v>1415</v>
      </c>
    </row>
    <row r="80" customFormat="false" ht="42" hidden="false" customHeight="true" outlineLevel="0" collapsed="false">
      <c r="A80" s="41" t="s">
        <v>1416</v>
      </c>
      <c r="B80" s="42" t="s">
        <v>1417</v>
      </c>
      <c r="C80" s="42" t="s">
        <v>1377</v>
      </c>
      <c r="D80" s="43" t="s">
        <v>1418</v>
      </c>
      <c r="E80" s="42" t="s">
        <v>1419</v>
      </c>
      <c r="F80" s="42" t="s">
        <v>1420</v>
      </c>
      <c r="G80" s="41" t="s">
        <v>500</v>
      </c>
      <c r="H80" s="41" t="s">
        <v>78</v>
      </c>
      <c r="I80" s="43" t="s">
        <v>501</v>
      </c>
      <c r="J80" s="41" t="s">
        <v>417</v>
      </c>
      <c r="K80" s="41" t="s">
        <v>419</v>
      </c>
      <c r="L80" s="41" t="s">
        <v>419</v>
      </c>
      <c r="M80" s="41" t="s">
        <v>420</v>
      </c>
      <c r="N80" s="41" t="s">
        <v>470</v>
      </c>
      <c r="O80" s="43" t="s">
        <v>1421</v>
      </c>
      <c r="P80" s="38" t="s">
        <v>1422</v>
      </c>
      <c r="Q80" s="38" t="s">
        <v>1423</v>
      </c>
      <c r="R80" s="38" t="s">
        <v>1424</v>
      </c>
      <c r="S80" s="38" t="s">
        <v>1425</v>
      </c>
      <c r="T80" s="38" t="s">
        <v>1426</v>
      </c>
      <c r="U80" s="38" t="s">
        <v>1427</v>
      </c>
      <c r="V80" s="36" t="n">
        <v>4</v>
      </c>
      <c r="W80" s="36" t="n">
        <v>0</v>
      </c>
      <c r="X80" s="39" t="s">
        <v>1428</v>
      </c>
      <c r="Y80" s="39" t="s">
        <v>1429</v>
      </c>
      <c r="Z80" s="36" t="s">
        <v>419</v>
      </c>
      <c r="AA80" s="36" t="s">
        <v>418</v>
      </c>
      <c r="AB80" s="39" t="s">
        <v>511</v>
      </c>
      <c r="AC80" s="40"/>
      <c r="AD80" s="36" t="s">
        <v>432</v>
      </c>
      <c r="AE80" s="36" t="s">
        <v>418</v>
      </c>
      <c r="AF80" s="36" t="s">
        <v>419</v>
      </c>
      <c r="AG80" s="36"/>
      <c r="AH80" s="36" t="s">
        <v>433</v>
      </c>
      <c r="AI80" s="36" t="s">
        <v>434</v>
      </c>
      <c r="AJ80" s="39" t="s">
        <v>1430</v>
      </c>
    </row>
    <row r="81" customFormat="false" ht="42" hidden="false" customHeight="true" outlineLevel="0" collapsed="false">
      <c r="A81" s="36" t="s">
        <v>1431</v>
      </c>
      <c r="B81" s="37" t="s">
        <v>1432</v>
      </c>
      <c r="C81" s="37" t="s">
        <v>1377</v>
      </c>
      <c r="D81" s="38" t="s">
        <v>1418</v>
      </c>
      <c r="E81" s="37" t="s">
        <v>1433</v>
      </c>
      <c r="F81" s="37" t="s">
        <v>1434</v>
      </c>
      <c r="G81" s="36" t="s">
        <v>500</v>
      </c>
      <c r="H81" s="36" t="s">
        <v>468</v>
      </c>
      <c r="I81" s="38" t="s">
        <v>1435</v>
      </c>
      <c r="J81" s="36" t="s">
        <v>53</v>
      </c>
      <c r="K81" s="36" t="s">
        <v>419</v>
      </c>
      <c r="L81" s="36" t="s">
        <v>419</v>
      </c>
      <c r="M81" s="36" t="s">
        <v>420</v>
      </c>
      <c r="N81" s="36" t="s">
        <v>470</v>
      </c>
      <c r="O81" s="38" t="s">
        <v>1436</v>
      </c>
      <c r="P81" s="38" t="s">
        <v>1437</v>
      </c>
      <c r="Q81" s="38" t="s">
        <v>1438</v>
      </c>
      <c r="R81" s="38" t="s">
        <v>1439</v>
      </c>
      <c r="S81" s="38" t="s">
        <v>1440</v>
      </c>
      <c r="T81" s="38" t="s">
        <v>1441</v>
      </c>
      <c r="U81" s="38" t="s">
        <v>1442</v>
      </c>
      <c r="V81" s="36" t="n">
        <v>5</v>
      </c>
      <c r="W81" s="36" t="n">
        <v>0</v>
      </c>
      <c r="X81" s="39" t="s">
        <v>1428</v>
      </c>
      <c r="Y81" s="39" t="s">
        <v>1443</v>
      </c>
      <c r="Z81" s="36" t="s">
        <v>419</v>
      </c>
      <c r="AA81" s="36" t="s">
        <v>418</v>
      </c>
      <c r="AB81" s="39" t="s">
        <v>1444</v>
      </c>
      <c r="AC81" s="40"/>
      <c r="AD81" s="36" t="s">
        <v>432</v>
      </c>
      <c r="AE81" s="36" t="s">
        <v>418</v>
      </c>
      <c r="AF81" s="36" t="s">
        <v>419</v>
      </c>
      <c r="AG81" s="36"/>
      <c r="AH81" s="36" t="s">
        <v>433</v>
      </c>
      <c r="AI81" s="36" t="s">
        <v>434</v>
      </c>
      <c r="AJ81" s="44" t="s">
        <v>1445</v>
      </c>
    </row>
    <row r="82" customFormat="false" ht="42" hidden="false" customHeight="true" outlineLevel="0" collapsed="false">
      <c r="A82" s="41" t="s">
        <v>1446</v>
      </c>
      <c r="B82" s="42" t="s">
        <v>1447</v>
      </c>
      <c r="C82" s="42" t="s">
        <v>1377</v>
      </c>
      <c r="D82" s="43" t="s">
        <v>1448</v>
      </c>
      <c r="E82" s="42" t="s">
        <v>1379</v>
      </c>
      <c r="F82" s="42" t="s">
        <v>1380</v>
      </c>
      <c r="G82" s="41" t="s">
        <v>500</v>
      </c>
      <c r="H82" s="41" t="s">
        <v>438</v>
      </c>
      <c r="I82" s="43" t="s">
        <v>1449</v>
      </c>
      <c r="J82" s="41" t="s">
        <v>528</v>
      </c>
      <c r="K82" s="41" t="s">
        <v>418</v>
      </c>
      <c r="L82" s="41" t="s">
        <v>418</v>
      </c>
      <c r="M82" s="41" t="s">
        <v>469</v>
      </c>
      <c r="N82" s="41" t="s">
        <v>440</v>
      </c>
      <c r="O82" s="43" t="s">
        <v>1450</v>
      </c>
      <c r="P82" s="38" t="s">
        <v>1451</v>
      </c>
      <c r="Q82" s="38" t="s">
        <v>1452</v>
      </c>
      <c r="R82" s="38" t="s">
        <v>1453</v>
      </c>
      <c r="S82" s="38" t="s">
        <v>1454</v>
      </c>
      <c r="T82" s="38" t="s">
        <v>1455</v>
      </c>
      <c r="U82" s="38" t="s">
        <v>1456</v>
      </c>
      <c r="V82" s="36" t="n">
        <v>5</v>
      </c>
      <c r="W82" s="36" t="n">
        <v>2</v>
      </c>
      <c r="X82" s="39" t="s">
        <v>1457</v>
      </c>
      <c r="Y82" s="39" t="s">
        <v>1458</v>
      </c>
      <c r="Z82" s="36" t="s">
        <v>418</v>
      </c>
      <c r="AA82" s="36" t="s">
        <v>418</v>
      </c>
      <c r="AB82" s="39" t="s">
        <v>1459</v>
      </c>
      <c r="AC82" s="40"/>
      <c r="AD82" s="36" t="s">
        <v>432</v>
      </c>
      <c r="AE82" s="36" t="s">
        <v>418</v>
      </c>
      <c r="AF82" s="36" t="s">
        <v>419</v>
      </c>
      <c r="AG82" s="36"/>
      <c r="AH82" s="36" t="s">
        <v>480</v>
      </c>
      <c r="AI82" s="36" t="s">
        <v>481</v>
      </c>
      <c r="AJ82" s="44" t="s">
        <v>1390</v>
      </c>
    </row>
    <row r="83" customFormat="false" ht="42" hidden="false" customHeight="true" outlineLevel="0" collapsed="false">
      <c r="A83" s="36" t="s">
        <v>1460</v>
      </c>
      <c r="B83" s="37" t="s">
        <v>1461</v>
      </c>
      <c r="C83" s="37" t="s">
        <v>1377</v>
      </c>
      <c r="D83" s="38" t="s">
        <v>1462</v>
      </c>
      <c r="E83" s="37" t="s">
        <v>1463</v>
      </c>
      <c r="F83" s="37" t="s">
        <v>1464</v>
      </c>
      <c r="G83" s="36" t="s">
        <v>500</v>
      </c>
      <c r="H83" s="36" t="s">
        <v>468</v>
      </c>
      <c r="I83" s="38" t="s">
        <v>87</v>
      </c>
      <c r="J83" s="36" t="s">
        <v>53</v>
      </c>
      <c r="K83" s="36" t="s">
        <v>419</v>
      </c>
      <c r="L83" s="36" t="s">
        <v>418</v>
      </c>
      <c r="M83" s="36" t="s">
        <v>1022</v>
      </c>
      <c r="N83" s="36" t="s">
        <v>470</v>
      </c>
      <c r="O83" s="38" t="s">
        <v>1465</v>
      </c>
      <c r="P83" s="38" t="s">
        <v>1466</v>
      </c>
      <c r="Q83" s="38" t="s">
        <v>1467</v>
      </c>
      <c r="R83" s="38" t="s">
        <v>1468</v>
      </c>
      <c r="S83" s="38" t="s">
        <v>1469</v>
      </c>
      <c r="T83" s="38" t="s">
        <v>1470</v>
      </c>
      <c r="U83" s="38" t="s">
        <v>1471</v>
      </c>
      <c r="V83" s="36" t="n">
        <v>4</v>
      </c>
      <c r="W83" s="36" t="n">
        <v>0</v>
      </c>
      <c r="X83" s="39" t="s">
        <v>1472</v>
      </c>
      <c r="Y83" s="39" t="s">
        <v>1473</v>
      </c>
      <c r="Z83" s="36" t="s">
        <v>419</v>
      </c>
      <c r="AA83" s="36" t="s">
        <v>418</v>
      </c>
      <c r="AB83" s="39" t="s">
        <v>26</v>
      </c>
      <c r="AC83" s="40"/>
      <c r="AD83" s="36" t="s">
        <v>432</v>
      </c>
      <c r="AE83" s="36" t="s">
        <v>419</v>
      </c>
      <c r="AF83" s="36" t="s">
        <v>419</v>
      </c>
      <c r="AG83" s="36"/>
      <c r="AH83" s="36" t="s">
        <v>1033</v>
      </c>
      <c r="AI83" s="36" t="s">
        <v>1034</v>
      </c>
      <c r="AJ83" s="44" t="s">
        <v>1445</v>
      </c>
    </row>
    <row r="84" customFormat="false" ht="42" hidden="false" customHeight="true" outlineLevel="0" collapsed="false">
      <c r="A84" s="41" t="s">
        <v>1474</v>
      </c>
      <c r="B84" s="42" t="s">
        <v>1475</v>
      </c>
      <c r="C84" s="42" t="s">
        <v>1377</v>
      </c>
      <c r="D84" s="43" t="s">
        <v>1476</v>
      </c>
      <c r="E84" s="42" t="s">
        <v>1379</v>
      </c>
      <c r="F84" s="42" t="s">
        <v>1380</v>
      </c>
      <c r="G84" s="41" t="s">
        <v>500</v>
      </c>
      <c r="H84" s="41" t="s">
        <v>78</v>
      </c>
      <c r="I84" s="43" t="s">
        <v>820</v>
      </c>
      <c r="J84" s="41" t="s">
        <v>53</v>
      </c>
      <c r="K84" s="41" t="s">
        <v>418</v>
      </c>
      <c r="L84" s="41" t="s">
        <v>419</v>
      </c>
      <c r="M84" s="41" t="s">
        <v>420</v>
      </c>
      <c r="N84" s="41" t="s">
        <v>440</v>
      </c>
      <c r="O84" s="43" t="s">
        <v>1477</v>
      </c>
      <c r="P84" s="38" t="s">
        <v>1478</v>
      </c>
      <c r="Q84" s="38" t="s">
        <v>1479</v>
      </c>
      <c r="R84" s="38" t="s">
        <v>1480</v>
      </c>
      <c r="S84" s="38" t="s">
        <v>1481</v>
      </c>
      <c r="T84" s="38" t="s">
        <v>1482</v>
      </c>
      <c r="U84" s="38" t="s">
        <v>1483</v>
      </c>
      <c r="V84" s="36" t="n">
        <v>5</v>
      </c>
      <c r="W84" s="36" t="n">
        <v>0</v>
      </c>
      <c r="X84" s="39" t="s">
        <v>1484</v>
      </c>
      <c r="Y84" s="39" t="s">
        <v>1485</v>
      </c>
      <c r="Z84" s="36" t="s">
        <v>419</v>
      </c>
      <c r="AA84" s="36" t="s">
        <v>418</v>
      </c>
      <c r="AB84" s="39" t="s">
        <v>830</v>
      </c>
      <c r="AC84" s="40"/>
      <c r="AD84" s="36" t="s">
        <v>432</v>
      </c>
      <c r="AE84" s="36" t="s">
        <v>418</v>
      </c>
      <c r="AF84" s="36" t="s">
        <v>419</v>
      </c>
      <c r="AG84" s="36"/>
      <c r="AH84" s="36" t="s">
        <v>433</v>
      </c>
      <c r="AI84" s="36" t="s">
        <v>434</v>
      </c>
      <c r="AJ84" s="44" t="s">
        <v>1445</v>
      </c>
    </row>
    <row r="85" customFormat="false" ht="42" hidden="false" customHeight="true" outlineLevel="0" collapsed="false">
      <c r="A85" s="36" t="s">
        <v>1486</v>
      </c>
      <c r="B85" s="37" t="s">
        <v>1487</v>
      </c>
      <c r="C85" s="37" t="s">
        <v>1377</v>
      </c>
      <c r="D85" s="38" t="s">
        <v>1405</v>
      </c>
      <c r="E85" s="37" t="s">
        <v>1379</v>
      </c>
      <c r="F85" s="37" t="s">
        <v>1380</v>
      </c>
      <c r="G85" s="36" t="s">
        <v>500</v>
      </c>
      <c r="H85" s="36" t="s">
        <v>468</v>
      </c>
      <c r="I85" s="38" t="s">
        <v>87</v>
      </c>
      <c r="J85" s="36" t="s">
        <v>53</v>
      </c>
      <c r="K85" s="36" t="s">
        <v>418</v>
      </c>
      <c r="L85" s="36" t="s">
        <v>418</v>
      </c>
      <c r="M85" s="36" t="s">
        <v>469</v>
      </c>
      <c r="N85" s="36" t="s">
        <v>470</v>
      </c>
      <c r="O85" s="38" t="s">
        <v>1488</v>
      </c>
      <c r="P85" s="38" t="s">
        <v>1489</v>
      </c>
      <c r="Q85" s="38" t="s">
        <v>1490</v>
      </c>
      <c r="R85" s="38" t="s">
        <v>1491</v>
      </c>
      <c r="S85" s="38" t="s">
        <v>1492</v>
      </c>
      <c r="T85" s="38" t="s">
        <v>1493</v>
      </c>
      <c r="U85" s="38" t="s">
        <v>1494</v>
      </c>
      <c r="V85" s="36" t="n">
        <v>4</v>
      </c>
      <c r="W85" s="36" t="n">
        <v>0</v>
      </c>
      <c r="X85" s="39" t="s">
        <v>1495</v>
      </c>
      <c r="Y85" s="39" t="s">
        <v>1496</v>
      </c>
      <c r="Z85" s="36" t="s">
        <v>419</v>
      </c>
      <c r="AA85" s="36" t="s">
        <v>418</v>
      </c>
      <c r="AB85" s="39" t="s">
        <v>26</v>
      </c>
      <c r="AC85" s="40"/>
      <c r="AD85" s="36" t="s">
        <v>432</v>
      </c>
      <c r="AE85" s="36" t="s">
        <v>419</v>
      </c>
      <c r="AF85" s="36" t="s">
        <v>419</v>
      </c>
      <c r="AG85" s="36"/>
      <c r="AH85" s="36" t="s">
        <v>480</v>
      </c>
      <c r="AI85" s="36" t="s">
        <v>481</v>
      </c>
      <c r="AJ85" s="44" t="s">
        <v>1445</v>
      </c>
    </row>
    <row r="86" customFormat="false" ht="42" hidden="false" customHeight="true" outlineLevel="0" collapsed="false">
      <c r="A86" s="41" t="s">
        <v>1497</v>
      </c>
      <c r="B86" s="42" t="s">
        <v>1498</v>
      </c>
      <c r="C86" s="42" t="s">
        <v>1377</v>
      </c>
      <c r="D86" s="43" t="s">
        <v>1418</v>
      </c>
      <c r="E86" s="42" t="s">
        <v>1419</v>
      </c>
      <c r="F86" s="42" t="s">
        <v>1420</v>
      </c>
      <c r="G86" s="41" t="s">
        <v>500</v>
      </c>
      <c r="H86" s="41" t="s">
        <v>468</v>
      </c>
      <c r="I86" s="43" t="s">
        <v>856</v>
      </c>
      <c r="J86" s="41" t="s">
        <v>53</v>
      </c>
      <c r="K86" s="41" t="s">
        <v>419</v>
      </c>
      <c r="L86" s="41" t="s">
        <v>419</v>
      </c>
      <c r="M86" s="41" t="s">
        <v>420</v>
      </c>
      <c r="N86" s="41" t="s">
        <v>470</v>
      </c>
      <c r="O86" s="43" t="s">
        <v>1499</v>
      </c>
      <c r="P86" s="38" t="s">
        <v>1500</v>
      </c>
      <c r="Q86" s="38" t="s">
        <v>1501</v>
      </c>
      <c r="R86" s="38" t="s">
        <v>1502</v>
      </c>
      <c r="S86" s="38" t="s">
        <v>1503</v>
      </c>
      <c r="T86" s="38" t="s">
        <v>1504</v>
      </c>
      <c r="U86" s="38" t="s">
        <v>1505</v>
      </c>
      <c r="V86" s="36" t="n">
        <v>3</v>
      </c>
      <c r="W86" s="36" t="n">
        <v>0</v>
      </c>
      <c r="X86" s="39" t="s">
        <v>1506</v>
      </c>
      <c r="Y86" s="39" t="s">
        <v>1507</v>
      </c>
      <c r="Z86" s="36" t="s">
        <v>419</v>
      </c>
      <c r="AA86" s="36" t="s">
        <v>418</v>
      </c>
      <c r="AB86" s="39" t="s">
        <v>865</v>
      </c>
      <c r="AC86" s="40"/>
      <c r="AD86" s="36" t="s">
        <v>432</v>
      </c>
      <c r="AE86" s="36" t="s">
        <v>418</v>
      </c>
      <c r="AF86" s="36" t="s">
        <v>419</v>
      </c>
      <c r="AG86" s="36"/>
      <c r="AH86" s="36" t="s">
        <v>433</v>
      </c>
      <c r="AI86" s="36" t="s">
        <v>434</v>
      </c>
      <c r="AJ86" s="39" t="s">
        <v>1430</v>
      </c>
    </row>
    <row r="87" customFormat="false" ht="42" hidden="false" customHeight="true" outlineLevel="0" collapsed="false">
      <c r="A87" s="36" t="s">
        <v>1508</v>
      </c>
      <c r="B87" s="37" t="s">
        <v>1509</v>
      </c>
      <c r="C87" s="37" t="s">
        <v>1377</v>
      </c>
      <c r="D87" s="38" t="s">
        <v>1378</v>
      </c>
      <c r="E87" s="37" t="s">
        <v>1379</v>
      </c>
      <c r="F87" s="37" t="s">
        <v>1380</v>
      </c>
      <c r="G87" s="36" t="s">
        <v>500</v>
      </c>
      <c r="H87" s="36" t="s">
        <v>468</v>
      </c>
      <c r="I87" s="38" t="s">
        <v>87</v>
      </c>
      <c r="J87" s="36" t="s">
        <v>417</v>
      </c>
      <c r="K87" s="36" t="s">
        <v>418</v>
      </c>
      <c r="L87" s="36" t="s">
        <v>418</v>
      </c>
      <c r="M87" s="36" t="s">
        <v>1022</v>
      </c>
      <c r="N87" s="36" t="s">
        <v>470</v>
      </c>
      <c r="O87" s="38" t="s">
        <v>1510</v>
      </c>
      <c r="P87" s="38" t="s">
        <v>1511</v>
      </c>
      <c r="Q87" s="38" t="s">
        <v>1512</v>
      </c>
      <c r="R87" s="38" t="s">
        <v>1513</v>
      </c>
      <c r="S87" s="38" t="s">
        <v>1514</v>
      </c>
      <c r="T87" s="38" t="s">
        <v>1515</v>
      </c>
      <c r="U87" s="38" t="s">
        <v>1516</v>
      </c>
      <c r="V87" s="36" t="n">
        <v>4</v>
      </c>
      <c r="W87" s="36" t="n">
        <v>0</v>
      </c>
      <c r="X87" s="39" t="s">
        <v>1388</v>
      </c>
      <c r="Y87" s="39" t="s">
        <v>1517</v>
      </c>
      <c r="Z87" s="36" t="s">
        <v>419</v>
      </c>
      <c r="AA87" s="36" t="s">
        <v>418</v>
      </c>
      <c r="AB87" s="39" t="s">
        <v>26</v>
      </c>
      <c r="AC87" s="40"/>
      <c r="AD87" s="36" t="s">
        <v>432</v>
      </c>
      <c r="AE87" s="36" t="s">
        <v>419</v>
      </c>
      <c r="AF87" s="36" t="s">
        <v>419</v>
      </c>
      <c r="AG87" s="36"/>
      <c r="AH87" s="36" t="s">
        <v>1033</v>
      </c>
      <c r="AI87" s="36" t="s">
        <v>1034</v>
      </c>
      <c r="AJ87" s="44" t="s">
        <v>1445</v>
      </c>
    </row>
    <row r="88" customFormat="false" ht="42" hidden="false" customHeight="true" outlineLevel="0" collapsed="false">
      <c r="A88" s="41" t="s">
        <v>1518</v>
      </c>
      <c r="B88" s="42" t="s">
        <v>1519</v>
      </c>
      <c r="C88" s="42" t="s">
        <v>1377</v>
      </c>
      <c r="D88" s="43" t="s">
        <v>1520</v>
      </c>
      <c r="E88" s="42" t="s">
        <v>1433</v>
      </c>
      <c r="F88" s="42" t="s">
        <v>1434</v>
      </c>
      <c r="G88" s="41" t="s">
        <v>500</v>
      </c>
      <c r="H88" s="41" t="s">
        <v>468</v>
      </c>
      <c r="I88" s="43" t="s">
        <v>87</v>
      </c>
      <c r="J88" s="41" t="s">
        <v>53</v>
      </c>
      <c r="K88" s="41" t="s">
        <v>419</v>
      </c>
      <c r="L88" s="41" t="s">
        <v>418</v>
      </c>
      <c r="M88" s="41" t="s">
        <v>1022</v>
      </c>
      <c r="N88" s="41" t="s">
        <v>470</v>
      </c>
      <c r="O88" s="43" t="s">
        <v>1521</v>
      </c>
      <c r="P88" s="38" t="s">
        <v>1522</v>
      </c>
      <c r="Q88" s="38" t="s">
        <v>1523</v>
      </c>
      <c r="R88" s="38" t="s">
        <v>1524</v>
      </c>
      <c r="S88" s="38" t="s">
        <v>1525</v>
      </c>
      <c r="T88" s="38" t="s">
        <v>1526</v>
      </c>
      <c r="U88" s="38" t="s">
        <v>1527</v>
      </c>
      <c r="V88" s="36" t="n">
        <v>3</v>
      </c>
      <c r="W88" s="36" t="n">
        <v>0</v>
      </c>
      <c r="X88" s="39" t="s">
        <v>1388</v>
      </c>
      <c r="Y88" s="39" t="s">
        <v>1528</v>
      </c>
      <c r="Z88" s="36" t="s">
        <v>419</v>
      </c>
      <c r="AA88" s="36" t="s">
        <v>418</v>
      </c>
      <c r="AB88" s="39" t="s">
        <v>26</v>
      </c>
      <c r="AC88" s="40"/>
      <c r="AD88" s="36" t="s">
        <v>432</v>
      </c>
      <c r="AE88" s="36" t="s">
        <v>419</v>
      </c>
      <c r="AF88" s="36" t="s">
        <v>419</v>
      </c>
      <c r="AG88" s="36"/>
      <c r="AH88" s="36" t="s">
        <v>1033</v>
      </c>
      <c r="AI88" s="36" t="s">
        <v>1034</v>
      </c>
      <c r="AJ88" s="44" t="s">
        <v>1390</v>
      </c>
    </row>
    <row r="89" customFormat="false" ht="42" hidden="false" customHeight="true" outlineLevel="0" collapsed="false">
      <c r="A89" s="36" t="s">
        <v>1529</v>
      </c>
      <c r="B89" s="37" t="s">
        <v>1530</v>
      </c>
      <c r="C89" s="37" t="s">
        <v>1377</v>
      </c>
      <c r="D89" s="38" t="s">
        <v>1531</v>
      </c>
      <c r="E89" s="37" t="s">
        <v>1463</v>
      </c>
      <c r="F89" s="37" t="s">
        <v>1464</v>
      </c>
      <c r="G89" s="36" t="s">
        <v>500</v>
      </c>
      <c r="H89" s="36" t="s">
        <v>468</v>
      </c>
      <c r="I89" s="38" t="s">
        <v>1342</v>
      </c>
      <c r="J89" s="36" t="s">
        <v>528</v>
      </c>
      <c r="K89" s="36" t="s">
        <v>419</v>
      </c>
      <c r="L89" s="36" t="s">
        <v>418</v>
      </c>
      <c r="M89" s="36" t="s">
        <v>1022</v>
      </c>
      <c r="N89" s="36" t="s">
        <v>470</v>
      </c>
      <c r="O89" s="38" t="s">
        <v>1532</v>
      </c>
      <c r="P89" s="38" t="s">
        <v>1533</v>
      </c>
      <c r="Q89" s="38" t="s">
        <v>1534</v>
      </c>
      <c r="R89" s="38" t="s">
        <v>1535</v>
      </c>
      <c r="S89" s="38" t="s">
        <v>1469</v>
      </c>
      <c r="T89" s="38" t="s">
        <v>1536</v>
      </c>
      <c r="U89" s="38" t="s">
        <v>1537</v>
      </c>
      <c r="V89" s="36" t="n">
        <v>4</v>
      </c>
      <c r="W89" s="36" t="n">
        <v>2</v>
      </c>
      <c r="X89" s="39" t="s">
        <v>1538</v>
      </c>
      <c r="Y89" s="39" t="s">
        <v>1539</v>
      </c>
      <c r="Z89" s="36" t="s">
        <v>418</v>
      </c>
      <c r="AA89" s="36" t="s">
        <v>418</v>
      </c>
      <c r="AB89" s="39" t="s">
        <v>1351</v>
      </c>
      <c r="AC89" s="40"/>
      <c r="AD89" s="36" t="s">
        <v>432</v>
      </c>
      <c r="AE89" s="36" t="s">
        <v>419</v>
      </c>
      <c r="AF89" s="36" t="s">
        <v>419</v>
      </c>
      <c r="AG89" s="36"/>
      <c r="AH89" s="36" t="s">
        <v>1033</v>
      </c>
      <c r="AI89" s="36" t="s">
        <v>1034</v>
      </c>
      <c r="AJ89" s="44" t="s">
        <v>1415</v>
      </c>
    </row>
    <row r="90" customFormat="false" ht="42" hidden="false" customHeight="true" outlineLevel="0" collapsed="false">
      <c r="A90" s="41" t="s">
        <v>1540</v>
      </c>
      <c r="B90" s="42" t="s">
        <v>1541</v>
      </c>
      <c r="C90" s="42" t="s">
        <v>1542</v>
      </c>
      <c r="D90" s="43" t="s">
        <v>1543</v>
      </c>
      <c r="E90" s="42" t="s">
        <v>500</v>
      </c>
      <c r="F90" s="42" t="s">
        <v>1544</v>
      </c>
      <c r="G90" s="41" t="s">
        <v>500</v>
      </c>
      <c r="H90" s="41" t="s">
        <v>438</v>
      </c>
      <c r="I90" s="43" t="s">
        <v>1545</v>
      </c>
      <c r="J90" s="41" t="s">
        <v>53</v>
      </c>
      <c r="K90" s="41" t="s">
        <v>418</v>
      </c>
      <c r="L90" s="41" t="s">
        <v>419</v>
      </c>
      <c r="M90" s="41" t="s">
        <v>420</v>
      </c>
      <c r="N90" s="41" t="s">
        <v>440</v>
      </c>
      <c r="O90" s="43" t="s">
        <v>1546</v>
      </c>
      <c r="P90" s="38" t="s">
        <v>1547</v>
      </c>
      <c r="Q90" s="38" t="s">
        <v>1548</v>
      </c>
      <c r="R90" s="38" t="s">
        <v>1549</v>
      </c>
      <c r="S90" s="38" t="s">
        <v>1550</v>
      </c>
      <c r="T90" s="38" t="s">
        <v>1551</v>
      </c>
      <c r="U90" s="38" t="s">
        <v>1552</v>
      </c>
      <c r="V90" s="36" t="n">
        <v>3</v>
      </c>
      <c r="W90" s="36" t="n">
        <v>0</v>
      </c>
      <c r="X90" s="39" t="s">
        <v>1553</v>
      </c>
      <c r="Y90" s="39" t="s">
        <v>1554</v>
      </c>
      <c r="Z90" s="36" t="s">
        <v>419</v>
      </c>
      <c r="AA90" s="36" t="s">
        <v>418</v>
      </c>
      <c r="AB90" s="39" t="s">
        <v>1555</v>
      </c>
      <c r="AC90" s="40"/>
      <c r="AD90" s="36" t="s">
        <v>432</v>
      </c>
      <c r="AE90" s="36" t="s">
        <v>418</v>
      </c>
      <c r="AF90" s="36" t="s">
        <v>419</v>
      </c>
      <c r="AG90" s="36"/>
      <c r="AH90" s="36" t="s">
        <v>433</v>
      </c>
      <c r="AI90" s="36" t="s">
        <v>434</v>
      </c>
      <c r="AJ90" s="39" t="s">
        <v>1556</v>
      </c>
    </row>
    <row r="91" customFormat="false" ht="42" hidden="false" customHeight="true" outlineLevel="0" collapsed="false">
      <c r="A91" s="36" t="s">
        <v>1557</v>
      </c>
      <c r="B91" s="37" t="s">
        <v>1558</v>
      </c>
      <c r="C91" s="37" t="s">
        <v>1542</v>
      </c>
      <c r="D91" s="38" t="s">
        <v>1559</v>
      </c>
      <c r="E91" s="37" t="s">
        <v>500</v>
      </c>
      <c r="F91" s="37" t="s">
        <v>1544</v>
      </c>
      <c r="G91" s="36" t="s">
        <v>500</v>
      </c>
      <c r="H91" s="36" t="s">
        <v>78</v>
      </c>
      <c r="I91" s="38" t="s">
        <v>1560</v>
      </c>
      <c r="J91" s="36" t="s">
        <v>53</v>
      </c>
      <c r="K91" s="36" t="s">
        <v>418</v>
      </c>
      <c r="L91" s="36" t="s">
        <v>419</v>
      </c>
      <c r="M91" s="36" t="s">
        <v>420</v>
      </c>
      <c r="N91" s="36" t="s">
        <v>440</v>
      </c>
      <c r="O91" s="38" t="s">
        <v>1561</v>
      </c>
      <c r="P91" s="38" t="s">
        <v>1562</v>
      </c>
      <c r="Q91" s="38" t="s">
        <v>1563</v>
      </c>
      <c r="R91" s="38" t="s">
        <v>1564</v>
      </c>
      <c r="S91" s="38" t="s">
        <v>1565</v>
      </c>
      <c r="T91" s="38" t="s">
        <v>1566</v>
      </c>
      <c r="U91" s="38" t="s">
        <v>1567</v>
      </c>
      <c r="V91" s="36" t="n">
        <v>3</v>
      </c>
      <c r="W91" s="36" t="n">
        <v>0</v>
      </c>
      <c r="X91" s="39" t="s">
        <v>1568</v>
      </c>
      <c r="Y91" s="39" t="s">
        <v>1569</v>
      </c>
      <c r="Z91" s="36" t="s">
        <v>419</v>
      </c>
      <c r="AA91" s="36" t="s">
        <v>418</v>
      </c>
      <c r="AB91" s="39" t="s">
        <v>1570</v>
      </c>
      <c r="AC91" s="40"/>
      <c r="AD91" s="36" t="s">
        <v>432</v>
      </c>
      <c r="AE91" s="36" t="s">
        <v>419</v>
      </c>
      <c r="AF91" s="36" t="s">
        <v>419</v>
      </c>
      <c r="AG91" s="36"/>
      <c r="AH91" s="36" t="s">
        <v>433</v>
      </c>
      <c r="AI91" s="36" t="s">
        <v>434</v>
      </c>
      <c r="AJ91" s="39" t="s">
        <v>1556</v>
      </c>
    </row>
    <row r="92" customFormat="false" ht="42" hidden="false" customHeight="true" outlineLevel="0" collapsed="false">
      <c r="A92" s="41" t="s">
        <v>1571</v>
      </c>
      <c r="B92" s="42" t="s">
        <v>1572</v>
      </c>
      <c r="C92" s="42" t="s">
        <v>1542</v>
      </c>
      <c r="D92" s="43" t="s">
        <v>1573</v>
      </c>
      <c r="E92" s="42" t="s">
        <v>500</v>
      </c>
      <c r="F92" s="42" t="s">
        <v>1544</v>
      </c>
      <c r="G92" s="41" t="s">
        <v>500</v>
      </c>
      <c r="H92" s="41" t="s">
        <v>468</v>
      </c>
      <c r="I92" s="43" t="s">
        <v>2</v>
      </c>
      <c r="J92" s="41" t="s">
        <v>53</v>
      </c>
      <c r="K92" s="41" t="s">
        <v>419</v>
      </c>
      <c r="L92" s="41" t="s">
        <v>418</v>
      </c>
      <c r="M92" s="41" t="s">
        <v>469</v>
      </c>
      <c r="N92" s="41" t="s">
        <v>470</v>
      </c>
      <c r="O92" s="43" t="s">
        <v>1574</v>
      </c>
      <c r="P92" s="38" t="s">
        <v>1575</v>
      </c>
      <c r="Q92" s="38" t="s">
        <v>1576</v>
      </c>
      <c r="R92" s="38" t="s">
        <v>1577</v>
      </c>
      <c r="S92" s="38" t="s">
        <v>1578</v>
      </c>
      <c r="T92" s="38" t="s">
        <v>1579</v>
      </c>
      <c r="U92" s="38" t="s">
        <v>1580</v>
      </c>
      <c r="V92" s="36" t="n">
        <v>3</v>
      </c>
      <c r="W92" s="36" t="n">
        <v>0</v>
      </c>
      <c r="X92" s="39" t="s">
        <v>1568</v>
      </c>
      <c r="Y92" s="39" t="s">
        <v>1581</v>
      </c>
      <c r="Z92" s="36" t="s">
        <v>419</v>
      </c>
      <c r="AA92" s="36" t="s">
        <v>418</v>
      </c>
      <c r="AB92" s="39" t="s">
        <v>1582</v>
      </c>
      <c r="AC92" s="40"/>
      <c r="AD92" s="36" t="s">
        <v>432</v>
      </c>
      <c r="AE92" s="36" t="s">
        <v>418</v>
      </c>
      <c r="AF92" s="36" t="s">
        <v>419</v>
      </c>
      <c r="AG92" s="36"/>
      <c r="AH92" s="36" t="s">
        <v>480</v>
      </c>
      <c r="AI92" s="36" t="s">
        <v>481</v>
      </c>
      <c r="AJ92" s="39" t="s">
        <v>1556</v>
      </c>
    </row>
    <row r="93" customFormat="false" ht="42" hidden="false" customHeight="true" outlineLevel="0" collapsed="false">
      <c r="A93" s="36" t="s">
        <v>1583</v>
      </c>
      <c r="B93" s="37" t="s">
        <v>1584</v>
      </c>
      <c r="C93" s="37" t="s">
        <v>1585</v>
      </c>
      <c r="D93" s="38" t="s">
        <v>1586</v>
      </c>
      <c r="E93" s="37" t="s">
        <v>596</v>
      </c>
      <c r="F93" s="37" t="s">
        <v>1587</v>
      </c>
      <c r="G93" s="36" t="s">
        <v>415</v>
      </c>
      <c r="H93" s="36" t="s">
        <v>438</v>
      </c>
      <c r="I93" s="38" t="s">
        <v>1588</v>
      </c>
      <c r="J93" s="36" t="s">
        <v>417</v>
      </c>
      <c r="K93" s="36" t="s">
        <v>418</v>
      </c>
      <c r="L93" s="36" t="s">
        <v>419</v>
      </c>
      <c r="M93" s="36" t="s">
        <v>1037</v>
      </c>
      <c r="N93" s="36" t="s">
        <v>924</v>
      </c>
      <c r="O93" s="38" t="s">
        <v>1589</v>
      </c>
      <c r="P93" s="38" t="s">
        <v>1590</v>
      </c>
      <c r="Q93" s="38" t="s">
        <v>1591</v>
      </c>
      <c r="R93" s="38" t="s">
        <v>1592</v>
      </c>
      <c r="S93" s="38" t="s">
        <v>1593</v>
      </c>
      <c r="T93" s="38" t="s">
        <v>1594</v>
      </c>
      <c r="U93" s="38" t="s">
        <v>1595</v>
      </c>
      <c r="V93" s="36" t="n">
        <v>5</v>
      </c>
      <c r="W93" s="36" t="n">
        <v>2</v>
      </c>
      <c r="X93" s="39" t="s">
        <v>1045</v>
      </c>
      <c r="Y93" s="39" t="s">
        <v>1596</v>
      </c>
      <c r="Z93" s="36" t="s">
        <v>418</v>
      </c>
      <c r="AA93" s="36" t="s">
        <v>418</v>
      </c>
      <c r="AB93" s="39" t="s">
        <v>1597</v>
      </c>
      <c r="AC93" s="40"/>
      <c r="AD93" s="36" t="s">
        <v>1598</v>
      </c>
      <c r="AE93" s="36" t="s">
        <v>418</v>
      </c>
      <c r="AF93" s="36" t="s">
        <v>419</v>
      </c>
      <c r="AG93" s="36"/>
      <c r="AH93" s="36" t="s">
        <v>480</v>
      </c>
      <c r="AI93" s="36" t="s">
        <v>481</v>
      </c>
      <c r="AJ93" s="39" t="s">
        <v>609</v>
      </c>
    </row>
    <row r="94" customFormat="false" ht="42" hidden="false" customHeight="true" outlineLevel="0" collapsed="false">
      <c r="A94" s="41" t="s">
        <v>1599</v>
      </c>
      <c r="B94" s="42" t="s">
        <v>1600</v>
      </c>
      <c r="C94" s="42" t="s">
        <v>1585</v>
      </c>
      <c r="D94" s="43" t="s">
        <v>1601</v>
      </c>
      <c r="E94" s="42" t="s">
        <v>1602</v>
      </c>
      <c r="F94" s="42" t="s">
        <v>1603</v>
      </c>
      <c r="G94" s="41" t="s">
        <v>415</v>
      </c>
      <c r="H94" s="41" t="s">
        <v>438</v>
      </c>
      <c r="I94" s="43" t="s">
        <v>1604</v>
      </c>
      <c r="J94" s="41" t="s">
        <v>53</v>
      </c>
      <c r="K94" s="41" t="s">
        <v>418</v>
      </c>
      <c r="L94" s="41" t="s">
        <v>419</v>
      </c>
      <c r="M94" s="41" t="s">
        <v>1022</v>
      </c>
      <c r="N94" s="41" t="s">
        <v>470</v>
      </c>
      <c r="O94" s="43" t="s">
        <v>1605</v>
      </c>
      <c r="P94" s="38" t="s">
        <v>1606</v>
      </c>
      <c r="Q94" s="38" t="s">
        <v>1607</v>
      </c>
      <c r="R94" s="38" t="s">
        <v>1608</v>
      </c>
      <c r="S94" s="38" t="s">
        <v>1609</v>
      </c>
      <c r="T94" s="38" t="s">
        <v>1610</v>
      </c>
      <c r="U94" s="38" t="s">
        <v>1611</v>
      </c>
      <c r="V94" s="36" t="n">
        <v>3</v>
      </c>
      <c r="W94" s="36" t="n">
        <v>0</v>
      </c>
      <c r="X94" s="39" t="s">
        <v>1612</v>
      </c>
      <c r="Y94" s="39" t="s">
        <v>1613</v>
      </c>
      <c r="Z94" s="36" t="s">
        <v>419</v>
      </c>
      <c r="AA94" s="36" t="s">
        <v>418</v>
      </c>
      <c r="AB94" s="39" t="s">
        <v>906</v>
      </c>
      <c r="AC94" s="40"/>
      <c r="AD94" s="36" t="s">
        <v>432</v>
      </c>
      <c r="AE94" s="36" t="s">
        <v>418</v>
      </c>
      <c r="AF94" s="36" t="s">
        <v>419</v>
      </c>
      <c r="AG94" s="36"/>
      <c r="AH94" s="36" t="s">
        <v>1033</v>
      </c>
      <c r="AI94" s="36" t="s">
        <v>1034</v>
      </c>
      <c r="AJ94" s="39" t="s">
        <v>1614</v>
      </c>
    </row>
    <row r="95" customFormat="false" ht="42" hidden="false" customHeight="true" outlineLevel="0" collapsed="false">
      <c r="A95" s="36" t="s">
        <v>1615</v>
      </c>
      <c r="B95" s="37" t="s">
        <v>1616</v>
      </c>
      <c r="C95" s="37" t="s">
        <v>1585</v>
      </c>
      <c r="D95" s="38" t="s">
        <v>1617</v>
      </c>
      <c r="E95" s="37" t="s">
        <v>1602</v>
      </c>
      <c r="F95" s="37" t="s">
        <v>1603</v>
      </c>
      <c r="G95" s="36" t="s">
        <v>415</v>
      </c>
      <c r="H95" s="36" t="s">
        <v>438</v>
      </c>
      <c r="I95" s="38" t="s">
        <v>1618</v>
      </c>
      <c r="J95" s="36" t="s">
        <v>53</v>
      </c>
      <c r="K95" s="36" t="s">
        <v>419</v>
      </c>
      <c r="L95" s="36" t="s">
        <v>419</v>
      </c>
      <c r="M95" s="36" t="s">
        <v>1022</v>
      </c>
      <c r="N95" s="36" t="s">
        <v>470</v>
      </c>
      <c r="O95" s="38" t="s">
        <v>1619</v>
      </c>
      <c r="P95" s="38" t="s">
        <v>1620</v>
      </c>
      <c r="Q95" s="38" t="s">
        <v>1621</v>
      </c>
      <c r="R95" s="38" t="s">
        <v>1622</v>
      </c>
      <c r="S95" s="38" t="s">
        <v>1623</v>
      </c>
      <c r="T95" s="38" t="s">
        <v>1624</v>
      </c>
      <c r="U95" s="38" t="s">
        <v>1625</v>
      </c>
      <c r="V95" s="36" t="n">
        <v>3</v>
      </c>
      <c r="W95" s="36" t="n">
        <v>0</v>
      </c>
      <c r="X95" s="39" t="s">
        <v>1626</v>
      </c>
      <c r="Y95" s="39" t="s">
        <v>1627</v>
      </c>
      <c r="Z95" s="36" t="s">
        <v>419</v>
      </c>
      <c r="AA95" s="36" t="s">
        <v>418</v>
      </c>
      <c r="AB95" s="39" t="s">
        <v>906</v>
      </c>
      <c r="AC95" s="40"/>
      <c r="AD95" s="36" t="s">
        <v>432</v>
      </c>
      <c r="AE95" s="36" t="s">
        <v>418</v>
      </c>
      <c r="AF95" s="36" t="s">
        <v>419</v>
      </c>
      <c r="AG95" s="36"/>
      <c r="AH95" s="36" t="s">
        <v>1033</v>
      </c>
      <c r="AI95" s="36" t="s">
        <v>1034</v>
      </c>
      <c r="AJ95" s="39" t="s">
        <v>1614</v>
      </c>
    </row>
    <row r="96" customFormat="false" ht="42" hidden="false" customHeight="true" outlineLevel="0" collapsed="false">
      <c r="A96" s="41" t="s">
        <v>1628</v>
      </c>
      <c r="B96" s="42" t="s">
        <v>1629</v>
      </c>
      <c r="C96" s="42" t="s">
        <v>1542</v>
      </c>
      <c r="D96" s="43" t="s">
        <v>1573</v>
      </c>
      <c r="E96" s="42" t="s">
        <v>500</v>
      </c>
      <c r="F96" s="42" t="s">
        <v>1544</v>
      </c>
      <c r="G96" s="41" t="s">
        <v>500</v>
      </c>
      <c r="H96" s="41" t="s">
        <v>468</v>
      </c>
      <c r="I96" s="43" t="s">
        <v>87</v>
      </c>
      <c r="J96" s="41" t="s">
        <v>53</v>
      </c>
      <c r="K96" s="41" t="s">
        <v>418</v>
      </c>
      <c r="L96" s="41" t="s">
        <v>418</v>
      </c>
      <c r="M96" s="41" t="s">
        <v>1037</v>
      </c>
      <c r="N96" s="41" t="s">
        <v>470</v>
      </c>
      <c r="O96" s="43" t="s">
        <v>1630</v>
      </c>
      <c r="P96" s="38" t="s">
        <v>1631</v>
      </c>
      <c r="Q96" s="38" t="s">
        <v>1632</v>
      </c>
      <c r="R96" s="38" t="s">
        <v>1633</v>
      </c>
      <c r="S96" s="38" t="s">
        <v>1634</v>
      </c>
      <c r="T96" s="38" t="s">
        <v>1635</v>
      </c>
      <c r="U96" s="38" t="s">
        <v>1636</v>
      </c>
      <c r="V96" s="36" t="n">
        <v>3</v>
      </c>
      <c r="W96" s="36" t="n">
        <v>2</v>
      </c>
      <c r="X96" s="39" t="s">
        <v>1045</v>
      </c>
      <c r="Y96" s="39" t="s">
        <v>1637</v>
      </c>
      <c r="Z96" s="36" t="s">
        <v>418</v>
      </c>
      <c r="AA96" s="36" t="s">
        <v>418</v>
      </c>
      <c r="AB96" s="39" t="s">
        <v>26</v>
      </c>
      <c r="AC96" s="40"/>
      <c r="AD96" s="36" t="s">
        <v>342</v>
      </c>
      <c r="AE96" s="36" t="s">
        <v>418</v>
      </c>
      <c r="AF96" s="36" t="s">
        <v>419</v>
      </c>
      <c r="AG96" s="36"/>
      <c r="AH96" s="36" t="s">
        <v>480</v>
      </c>
      <c r="AI96" s="36" t="s">
        <v>481</v>
      </c>
      <c r="AJ96" s="39" t="s">
        <v>1556</v>
      </c>
    </row>
    <row r="97" customFormat="false" ht="42" hidden="false" customHeight="true" outlineLevel="0" collapsed="false">
      <c r="A97" s="36" t="s">
        <v>1638</v>
      </c>
      <c r="B97" s="37" t="s">
        <v>1639</v>
      </c>
      <c r="C97" s="37" t="s">
        <v>1585</v>
      </c>
      <c r="D97" s="38" t="s">
        <v>1640</v>
      </c>
      <c r="E97" s="37" t="s">
        <v>1641</v>
      </c>
      <c r="F97" s="37" t="s">
        <v>1642</v>
      </c>
      <c r="G97" s="36" t="s">
        <v>415</v>
      </c>
      <c r="H97" s="36" t="s">
        <v>468</v>
      </c>
      <c r="I97" s="38" t="s">
        <v>87</v>
      </c>
      <c r="J97" s="36" t="s">
        <v>417</v>
      </c>
      <c r="K97" s="36" t="s">
        <v>418</v>
      </c>
      <c r="L97" s="36" t="s">
        <v>418</v>
      </c>
      <c r="M97" s="36" t="s">
        <v>1643</v>
      </c>
      <c r="N97" s="36" t="s">
        <v>924</v>
      </c>
      <c r="O97" s="38" t="s">
        <v>1644</v>
      </c>
      <c r="P97" s="38" t="s">
        <v>1645</v>
      </c>
      <c r="Q97" s="38" t="s">
        <v>1646</v>
      </c>
      <c r="R97" s="38" t="s">
        <v>1647</v>
      </c>
      <c r="S97" s="38" t="s">
        <v>1648</v>
      </c>
      <c r="T97" s="38" t="s">
        <v>1649</v>
      </c>
      <c r="U97" s="38" t="s">
        <v>1650</v>
      </c>
      <c r="V97" s="36" t="n">
        <v>5</v>
      </c>
      <c r="W97" s="36" t="n">
        <v>0</v>
      </c>
      <c r="X97" s="39" t="s">
        <v>1651</v>
      </c>
      <c r="Y97" s="39" t="s">
        <v>1652</v>
      </c>
      <c r="Z97" s="36" t="s">
        <v>419</v>
      </c>
      <c r="AA97" s="36" t="s">
        <v>418</v>
      </c>
      <c r="AB97" s="39" t="s">
        <v>26</v>
      </c>
      <c r="AC97" s="40"/>
      <c r="AD97" s="36" t="s">
        <v>342</v>
      </c>
      <c r="AE97" s="36" t="s">
        <v>418</v>
      </c>
      <c r="AF97" s="36" t="s">
        <v>419</v>
      </c>
      <c r="AG97" s="36"/>
      <c r="AH97" s="36" t="s">
        <v>1653</v>
      </c>
      <c r="AI97" s="36" t="s">
        <v>1654</v>
      </c>
      <c r="AJ97" s="44" t="s">
        <v>1655</v>
      </c>
    </row>
    <row r="98" customFormat="false" ht="42" hidden="false" customHeight="true" outlineLevel="0" collapsed="false">
      <c r="A98" s="41" t="s">
        <v>1656</v>
      </c>
      <c r="B98" s="42" t="s">
        <v>1657</v>
      </c>
      <c r="C98" s="42" t="s">
        <v>1585</v>
      </c>
      <c r="D98" s="43" t="s">
        <v>1658</v>
      </c>
      <c r="E98" s="42" t="s">
        <v>1641</v>
      </c>
      <c r="F98" s="42" t="s">
        <v>1642</v>
      </c>
      <c r="G98" s="41" t="s">
        <v>415</v>
      </c>
      <c r="H98" s="41" t="s">
        <v>468</v>
      </c>
      <c r="I98" s="43" t="s">
        <v>87</v>
      </c>
      <c r="J98" s="41" t="s">
        <v>53</v>
      </c>
      <c r="K98" s="41" t="s">
        <v>418</v>
      </c>
      <c r="L98" s="41" t="s">
        <v>418</v>
      </c>
      <c r="M98" s="41" t="s">
        <v>1643</v>
      </c>
      <c r="N98" s="41" t="s">
        <v>924</v>
      </c>
      <c r="O98" s="43" t="s">
        <v>1659</v>
      </c>
      <c r="P98" s="38" t="s">
        <v>1660</v>
      </c>
      <c r="Q98" s="38" t="s">
        <v>1661</v>
      </c>
      <c r="R98" s="38" t="s">
        <v>1662</v>
      </c>
      <c r="S98" s="38" t="s">
        <v>1663</v>
      </c>
      <c r="T98" s="38" t="s">
        <v>1664</v>
      </c>
      <c r="U98" s="38" t="s">
        <v>1665</v>
      </c>
      <c r="V98" s="36" t="n">
        <v>5</v>
      </c>
      <c r="W98" s="36" t="n">
        <v>0</v>
      </c>
      <c r="X98" s="39" t="s">
        <v>1666</v>
      </c>
      <c r="Y98" s="39" t="s">
        <v>1667</v>
      </c>
      <c r="Z98" s="36" t="s">
        <v>419</v>
      </c>
      <c r="AA98" s="36" t="s">
        <v>418</v>
      </c>
      <c r="AB98" s="39" t="s">
        <v>26</v>
      </c>
      <c r="AC98" s="40"/>
      <c r="AD98" s="36" t="s">
        <v>1598</v>
      </c>
      <c r="AE98" s="36" t="s">
        <v>418</v>
      </c>
      <c r="AF98" s="36" t="s">
        <v>419</v>
      </c>
      <c r="AG98" s="36"/>
      <c r="AH98" s="36" t="s">
        <v>1653</v>
      </c>
      <c r="AI98" s="36" t="s">
        <v>1654</v>
      </c>
      <c r="AJ98" s="44" t="s">
        <v>1668</v>
      </c>
    </row>
    <row r="99" customFormat="false" ht="42" hidden="false" customHeight="true" outlineLevel="0" collapsed="false">
      <c r="A99" s="36" t="s">
        <v>1669</v>
      </c>
      <c r="B99" s="37" t="s">
        <v>1670</v>
      </c>
      <c r="C99" s="37" t="s">
        <v>1585</v>
      </c>
      <c r="D99" s="38" t="s">
        <v>1640</v>
      </c>
      <c r="E99" s="37" t="s">
        <v>1671</v>
      </c>
      <c r="F99" s="37" t="s">
        <v>1672</v>
      </c>
      <c r="G99" s="36" t="s">
        <v>415</v>
      </c>
      <c r="H99" s="36" t="s">
        <v>468</v>
      </c>
      <c r="I99" s="38" t="s">
        <v>87</v>
      </c>
      <c r="J99" s="36" t="s">
        <v>53</v>
      </c>
      <c r="K99" s="36" t="s">
        <v>418</v>
      </c>
      <c r="L99" s="36" t="s">
        <v>418</v>
      </c>
      <c r="M99" s="36" t="s">
        <v>1643</v>
      </c>
      <c r="N99" s="36" t="s">
        <v>924</v>
      </c>
      <c r="O99" s="38" t="s">
        <v>1673</v>
      </c>
      <c r="P99" s="38" t="s">
        <v>1674</v>
      </c>
      <c r="Q99" s="38" t="s">
        <v>1675</v>
      </c>
      <c r="R99" s="38" t="s">
        <v>1676</v>
      </c>
      <c r="S99" s="38" t="s">
        <v>1677</v>
      </c>
      <c r="T99" s="38" t="s">
        <v>1678</v>
      </c>
      <c r="U99" s="38" t="s">
        <v>1679</v>
      </c>
      <c r="V99" s="36" t="n">
        <v>4</v>
      </c>
      <c r="W99" s="36" t="n">
        <v>0</v>
      </c>
      <c r="X99" s="39" t="s">
        <v>1680</v>
      </c>
      <c r="Y99" s="39" t="s">
        <v>1681</v>
      </c>
      <c r="Z99" s="36" t="s">
        <v>419</v>
      </c>
      <c r="AA99" s="36" t="s">
        <v>418</v>
      </c>
      <c r="AB99" s="39" t="s">
        <v>26</v>
      </c>
      <c r="AC99" s="40"/>
      <c r="AD99" s="36" t="s">
        <v>342</v>
      </c>
      <c r="AE99" s="36" t="s">
        <v>418</v>
      </c>
      <c r="AF99" s="36" t="s">
        <v>419</v>
      </c>
      <c r="AG99" s="36"/>
      <c r="AH99" s="36" t="s">
        <v>1653</v>
      </c>
      <c r="AI99" s="36" t="s">
        <v>1654</v>
      </c>
      <c r="AJ99" s="39" t="s">
        <v>1682</v>
      </c>
    </row>
    <row r="100" customFormat="false" ht="42" hidden="false" customHeight="true" outlineLevel="0" collapsed="false">
      <c r="A100" s="41" t="s">
        <v>1683</v>
      </c>
      <c r="B100" s="42" t="s">
        <v>1684</v>
      </c>
      <c r="C100" s="42" t="s">
        <v>1585</v>
      </c>
      <c r="D100" s="43" t="s">
        <v>1685</v>
      </c>
      <c r="E100" s="42" t="s">
        <v>1641</v>
      </c>
      <c r="F100" s="42" t="s">
        <v>1642</v>
      </c>
      <c r="G100" s="41" t="s">
        <v>415</v>
      </c>
      <c r="H100" s="41" t="s">
        <v>468</v>
      </c>
      <c r="I100" s="43" t="s">
        <v>87</v>
      </c>
      <c r="J100" s="41" t="s">
        <v>53</v>
      </c>
      <c r="K100" s="41" t="s">
        <v>418</v>
      </c>
      <c r="L100" s="41" t="s">
        <v>418</v>
      </c>
      <c r="M100" s="41" t="s">
        <v>1643</v>
      </c>
      <c r="N100" s="41" t="s">
        <v>924</v>
      </c>
      <c r="O100" s="43" t="s">
        <v>1686</v>
      </c>
      <c r="P100" s="38" t="s">
        <v>1687</v>
      </c>
      <c r="Q100" s="38" t="s">
        <v>1688</v>
      </c>
      <c r="R100" s="38" t="s">
        <v>1689</v>
      </c>
      <c r="S100" s="38" t="s">
        <v>1690</v>
      </c>
      <c r="T100" s="38" t="s">
        <v>1691</v>
      </c>
      <c r="U100" s="38" t="s">
        <v>1692</v>
      </c>
      <c r="V100" s="36" t="n">
        <v>4</v>
      </c>
      <c r="W100" s="36" t="n">
        <v>0</v>
      </c>
      <c r="X100" s="39" t="s">
        <v>1651</v>
      </c>
      <c r="Y100" s="39" t="s">
        <v>1693</v>
      </c>
      <c r="Z100" s="36" t="s">
        <v>419</v>
      </c>
      <c r="AA100" s="36" t="s">
        <v>418</v>
      </c>
      <c r="AB100" s="39" t="s">
        <v>26</v>
      </c>
      <c r="AC100" s="40"/>
      <c r="AD100" s="36" t="s">
        <v>432</v>
      </c>
      <c r="AE100" s="36" t="s">
        <v>418</v>
      </c>
      <c r="AF100" s="36" t="s">
        <v>419</v>
      </c>
      <c r="AG100" s="36"/>
      <c r="AH100" s="36" t="s">
        <v>1653</v>
      </c>
      <c r="AI100" s="36" t="s">
        <v>1654</v>
      </c>
      <c r="AJ100" s="44" t="s">
        <v>1694</v>
      </c>
    </row>
    <row r="101" customFormat="false" ht="42" hidden="false" customHeight="true" outlineLevel="0" collapsed="false">
      <c r="A101" s="36" t="s">
        <v>1695</v>
      </c>
      <c r="B101" s="37" t="s">
        <v>1696</v>
      </c>
      <c r="C101" s="37" t="s">
        <v>1585</v>
      </c>
      <c r="D101" s="38" t="s">
        <v>1697</v>
      </c>
      <c r="E101" s="37" t="s">
        <v>1671</v>
      </c>
      <c r="F101" s="37" t="s">
        <v>1672</v>
      </c>
      <c r="G101" s="36" t="s">
        <v>415</v>
      </c>
      <c r="H101" s="36" t="s">
        <v>438</v>
      </c>
      <c r="I101" s="38" t="s">
        <v>1698</v>
      </c>
      <c r="J101" s="36" t="s">
        <v>53</v>
      </c>
      <c r="K101" s="36" t="s">
        <v>418</v>
      </c>
      <c r="L101" s="36" t="s">
        <v>419</v>
      </c>
      <c r="M101" s="36" t="s">
        <v>1643</v>
      </c>
      <c r="N101" s="36" t="s">
        <v>924</v>
      </c>
      <c r="O101" s="38" t="s">
        <v>1699</v>
      </c>
      <c r="P101" s="38" t="s">
        <v>1700</v>
      </c>
      <c r="Q101" s="38" t="s">
        <v>1701</v>
      </c>
      <c r="R101" s="38" t="s">
        <v>1702</v>
      </c>
      <c r="S101" s="38" t="s">
        <v>1703</v>
      </c>
      <c r="T101" s="38" t="s">
        <v>1704</v>
      </c>
      <c r="U101" s="38" t="s">
        <v>1705</v>
      </c>
      <c r="V101" s="36" t="n">
        <v>5</v>
      </c>
      <c r="W101" s="36" t="n">
        <v>0</v>
      </c>
      <c r="X101" s="39" t="s">
        <v>1706</v>
      </c>
      <c r="Y101" s="39" t="s">
        <v>1707</v>
      </c>
      <c r="Z101" s="36" t="s">
        <v>419</v>
      </c>
      <c r="AA101" s="36" t="s">
        <v>418</v>
      </c>
      <c r="AB101" s="39" t="s">
        <v>1708</v>
      </c>
      <c r="AC101" s="40"/>
      <c r="AD101" s="36" t="s">
        <v>432</v>
      </c>
      <c r="AE101" s="36" t="s">
        <v>418</v>
      </c>
      <c r="AF101" s="36" t="s">
        <v>419</v>
      </c>
      <c r="AG101" s="36"/>
      <c r="AH101" s="36" t="s">
        <v>1653</v>
      </c>
      <c r="AI101" s="36" t="s">
        <v>1654</v>
      </c>
      <c r="AJ101" s="39" t="s">
        <v>1682</v>
      </c>
    </row>
    <row r="102" customFormat="false" ht="42" hidden="false" customHeight="true" outlineLevel="0" collapsed="false">
      <c r="A102" s="41" t="s">
        <v>1709</v>
      </c>
      <c r="B102" s="42" t="s">
        <v>1710</v>
      </c>
      <c r="C102" s="42" t="s">
        <v>1585</v>
      </c>
      <c r="D102" s="43" t="s">
        <v>1711</v>
      </c>
      <c r="E102" s="42" t="s">
        <v>1671</v>
      </c>
      <c r="F102" s="42" t="s">
        <v>1672</v>
      </c>
      <c r="G102" s="41" t="s">
        <v>415</v>
      </c>
      <c r="H102" s="41" t="s">
        <v>438</v>
      </c>
      <c r="I102" s="43" t="s">
        <v>1712</v>
      </c>
      <c r="J102" s="41" t="s">
        <v>53</v>
      </c>
      <c r="K102" s="41" t="s">
        <v>418</v>
      </c>
      <c r="L102" s="41" t="s">
        <v>419</v>
      </c>
      <c r="M102" s="41" t="s">
        <v>1643</v>
      </c>
      <c r="N102" s="41" t="s">
        <v>924</v>
      </c>
      <c r="O102" s="43" t="s">
        <v>1713</v>
      </c>
      <c r="P102" s="38" t="s">
        <v>1714</v>
      </c>
      <c r="Q102" s="38" t="s">
        <v>1715</v>
      </c>
      <c r="R102" s="38" t="s">
        <v>1716</v>
      </c>
      <c r="S102" s="38" t="s">
        <v>1717</v>
      </c>
      <c r="T102" s="38" t="s">
        <v>1718</v>
      </c>
      <c r="U102" s="38" t="s">
        <v>1719</v>
      </c>
      <c r="V102" s="36" t="n">
        <v>5</v>
      </c>
      <c r="W102" s="36" t="n">
        <v>0</v>
      </c>
      <c r="X102" s="39" t="s">
        <v>1720</v>
      </c>
      <c r="Y102" s="39" t="s">
        <v>1721</v>
      </c>
      <c r="Z102" s="36" t="s">
        <v>419</v>
      </c>
      <c r="AA102" s="36" t="s">
        <v>418</v>
      </c>
      <c r="AB102" s="39" t="s">
        <v>1722</v>
      </c>
      <c r="AC102" s="40"/>
      <c r="AD102" s="36" t="s">
        <v>432</v>
      </c>
      <c r="AE102" s="36" t="s">
        <v>418</v>
      </c>
      <c r="AF102" s="36" t="s">
        <v>419</v>
      </c>
      <c r="AG102" s="36"/>
      <c r="AH102" s="36" t="s">
        <v>1653</v>
      </c>
      <c r="AI102" s="36" t="s">
        <v>1654</v>
      </c>
      <c r="AJ102" s="39" t="s">
        <v>1682</v>
      </c>
    </row>
    <row r="103" customFormat="false" ht="23.25" hidden="false" customHeight="true" outlineLevel="0" collapsed="false">
      <c r="A103" s="36" t="s">
        <v>1723</v>
      </c>
      <c r="B103" s="37" t="s">
        <v>1724</v>
      </c>
      <c r="C103" s="37" t="s">
        <v>594</v>
      </c>
      <c r="D103" s="38" t="s">
        <v>1725</v>
      </c>
      <c r="E103" s="37" t="s">
        <v>596</v>
      </c>
      <c r="F103" s="37" t="s">
        <v>597</v>
      </c>
      <c r="G103" s="36" t="s">
        <v>415</v>
      </c>
      <c r="H103" s="36" t="s">
        <v>78</v>
      </c>
      <c r="I103" s="38" t="s">
        <v>1726</v>
      </c>
      <c r="J103" s="36" t="s">
        <v>417</v>
      </c>
      <c r="K103" s="36" t="s">
        <v>418</v>
      </c>
      <c r="L103" s="36" t="s">
        <v>419</v>
      </c>
      <c r="M103" s="36" t="s">
        <v>420</v>
      </c>
      <c r="N103" s="36" t="s">
        <v>421</v>
      </c>
      <c r="O103" s="38" t="s">
        <v>1727</v>
      </c>
      <c r="P103" s="38" t="s">
        <v>1728</v>
      </c>
      <c r="Q103" s="38" t="s">
        <v>1729</v>
      </c>
      <c r="R103" s="38" t="s">
        <v>1730</v>
      </c>
      <c r="S103" s="38" t="s">
        <v>1731</v>
      </c>
      <c r="T103" s="38" t="s">
        <v>1732</v>
      </c>
      <c r="U103" s="38" t="s">
        <v>1733</v>
      </c>
      <c r="V103" s="36" t="n">
        <v>6</v>
      </c>
      <c r="W103" s="36" t="n">
        <v>1</v>
      </c>
      <c r="X103" s="39" t="s">
        <v>1734</v>
      </c>
      <c r="Y103" s="39" t="s">
        <v>1735</v>
      </c>
      <c r="Z103" s="36" t="s">
        <v>418</v>
      </c>
      <c r="AA103" s="36" t="s">
        <v>418</v>
      </c>
      <c r="AB103" s="39" t="s">
        <v>1736</v>
      </c>
      <c r="AC103" s="40"/>
      <c r="AD103" s="36" t="s">
        <v>432</v>
      </c>
      <c r="AE103" s="36" t="s">
        <v>418</v>
      </c>
      <c r="AF103" s="36" t="s">
        <v>419</v>
      </c>
      <c r="AG103" s="36"/>
      <c r="AH103" s="36" t="s">
        <v>433</v>
      </c>
      <c r="AI103" s="36" t="s">
        <v>434</v>
      </c>
      <c r="AJ103" s="39" t="s">
        <v>609</v>
      </c>
    </row>
    <row r="104" customFormat="false" ht="23.25" hidden="false" customHeight="true" outlineLevel="0" collapsed="false">
      <c r="A104" s="36" t="s">
        <v>1737</v>
      </c>
      <c r="B104" s="37" t="s">
        <v>1738</v>
      </c>
      <c r="C104" s="37" t="s">
        <v>594</v>
      </c>
      <c r="D104" s="38" t="s">
        <v>1739</v>
      </c>
      <c r="E104" s="37" t="s">
        <v>596</v>
      </c>
      <c r="F104" s="37" t="s">
        <v>597</v>
      </c>
      <c r="G104" s="36" t="s">
        <v>415</v>
      </c>
      <c r="H104" s="36" t="s">
        <v>438</v>
      </c>
      <c r="I104" s="38" t="s">
        <v>779</v>
      </c>
      <c r="J104" s="36" t="s">
        <v>53</v>
      </c>
      <c r="K104" s="36" t="s">
        <v>418</v>
      </c>
      <c r="L104" s="36" t="s">
        <v>419</v>
      </c>
      <c r="M104" s="36" t="s">
        <v>420</v>
      </c>
      <c r="N104" s="36" t="s">
        <v>470</v>
      </c>
      <c r="O104" s="38" t="s">
        <v>1740</v>
      </c>
      <c r="P104" s="38" t="s">
        <v>1741</v>
      </c>
      <c r="Q104" s="38" t="s">
        <v>1742</v>
      </c>
      <c r="R104" s="38" t="s">
        <v>1743</v>
      </c>
      <c r="S104" s="38" t="s">
        <v>1744</v>
      </c>
      <c r="T104" s="38" t="s">
        <v>1745</v>
      </c>
      <c r="U104" s="38" t="s">
        <v>1746</v>
      </c>
      <c r="V104" s="36" t="n">
        <v>7</v>
      </c>
      <c r="W104" s="36" t="n">
        <v>1</v>
      </c>
      <c r="X104" s="39" t="s">
        <v>733</v>
      </c>
      <c r="Y104" s="39" t="s">
        <v>1747</v>
      </c>
      <c r="Z104" s="36" t="s">
        <v>418</v>
      </c>
      <c r="AA104" s="36" t="s">
        <v>418</v>
      </c>
      <c r="AB104" s="39" t="s">
        <v>789</v>
      </c>
      <c r="AC104" s="40"/>
      <c r="AD104" s="36" t="s">
        <v>432</v>
      </c>
      <c r="AE104" s="36" t="s">
        <v>418</v>
      </c>
      <c r="AF104" s="36" t="s">
        <v>419</v>
      </c>
      <c r="AG104" s="36"/>
      <c r="AH104" s="36" t="s">
        <v>433</v>
      </c>
      <c r="AI104" s="36" t="s">
        <v>434</v>
      </c>
      <c r="AJ104" s="39" t="s">
        <v>609</v>
      </c>
    </row>
    <row r="105" customFormat="false" ht="23.25" hidden="false" customHeight="true" outlineLevel="0" collapsed="false">
      <c r="A105" s="36" t="s">
        <v>1748</v>
      </c>
      <c r="B105" s="37" t="s">
        <v>1749</v>
      </c>
      <c r="C105" s="37" t="s">
        <v>594</v>
      </c>
      <c r="D105" s="38" t="s">
        <v>1750</v>
      </c>
      <c r="E105" s="37" t="s">
        <v>613</v>
      </c>
      <c r="F105" s="37" t="s">
        <v>614</v>
      </c>
      <c r="G105" s="36" t="s">
        <v>415</v>
      </c>
      <c r="H105" s="36" t="s">
        <v>468</v>
      </c>
      <c r="I105" s="38" t="s">
        <v>856</v>
      </c>
      <c r="J105" s="36" t="s">
        <v>53</v>
      </c>
      <c r="K105" s="36" t="s">
        <v>418</v>
      </c>
      <c r="L105" s="36" t="s">
        <v>419</v>
      </c>
      <c r="M105" s="36" t="s">
        <v>420</v>
      </c>
      <c r="N105" s="36" t="s">
        <v>470</v>
      </c>
      <c r="O105" s="38" t="s">
        <v>1751</v>
      </c>
      <c r="P105" s="38" t="s">
        <v>1752</v>
      </c>
      <c r="Q105" s="38" t="s">
        <v>1753</v>
      </c>
      <c r="R105" s="38" t="s">
        <v>1754</v>
      </c>
      <c r="S105" s="38" t="s">
        <v>1755</v>
      </c>
      <c r="T105" s="38" t="s">
        <v>1756</v>
      </c>
      <c r="U105" s="38" t="s">
        <v>1757</v>
      </c>
      <c r="V105" s="36" t="n">
        <v>4</v>
      </c>
      <c r="W105" s="36" t="n">
        <v>0</v>
      </c>
      <c r="X105" s="39" t="s">
        <v>1758</v>
      </c>
      <c r="Y105" s="39" t="s">
        <v>1759</v>
      </c>
      <c r="Z105" s="36" t="s">
        <v>419</v>
      </c>
      <c r="AA105" s="36" t="s">
        <v>418</v>
      </c>
      <c r="AB105" s="39" t="s">
        <v>865</v>
      </c>
      <c r="AC105" s="40"/>
      <c r="AD105" s="36" t="s">
        <v>432</v>
      </c>
      <c r="AE105" s="36" t="s">
        <v>418</v>
      </c>
      <c r="AF105" s="36" t="s">
        <v>419</v>
      </c>
      <c r="AG105" s="36"/>
      <c r="AH105" s="36" t="s">
        <v>433</v>
      </c>
      <c r="AI105" s="36" t="s">
        <v>434</v>
      </c>
      <c r="AJ105" s="39" t="s">
        <v>639</v>
      </c>
    </row>
    <row r="106" customFormat="false" ht="23.25" hidden="false" customHeight="true" outlineLevel="0" collapsed="false">
      <c r="A106" s="36" t="s">
        <v>1760</v>
      </c>
      <c r="B106" s="37" t="s">
        <v>1761</v>
      </c>
      <c r="C106" s="37" t="s">
        <v>594</v>
      </c>
      <c r="D106" s="38" t="s">
        <v>1762</v>
      </c>
      <c r="E106" s="37" t="s">
        <v>643</v>
      </c>
      <c r="F106" s="37" t="s">
        <v>644</v>
      </c>
      <c r="G106" s="36" t="s">
        <v>415</v>
      </c>
      <c r="H106" s="36" t="s">
        <v>468</v>
      </c>
      <c r="I106" s="38" t="s">
        <v>1763</v>
      </c>
      <c r="J106" s="36" t="s">
        <v>53</v>
      </c>
      <c r="K106" s="36" t="s">
        <v>418</v>
      </c>
      <c r="L106" s="36" t="s">
        <v>418</v>
      </c>
      <c r="M106" s="36" t="s">
        <v>469</v>
      </c>
      <c r="N106" s="36" t="s">
        <v>470</v>
      </c>
      <c r="O106" s="38" t="s">
        <v>1764</v>
      </c>
      <c r="P106" s="38" t="s">
        <v>1765</v>
      </c>
      <c r="Q106" s="38" t="s">
        <v>1766</v>
      </c>
      <c r="R106" s="38" t="s">
        <v>1767</v>
      </c>
      <c r="S106" s="38" t="s">
        <v>1241</v>
      </c>
      <c r="T106" s="38" t="s">
        <v>1768</v>
      </c>
      <c r="U106" s="38" t="s">
        <v>1769</v>
      </c>
      <c r="V106" s="36" t="n">
        <v>5</v>
      </c>
      <c r="W106" s="36" t="n">
        <v>0</v>
      </c>
      <c r="X106" s="39" t="s">
        <v>746</v>
      </c>
      <c r="Y106" s="39" t="s">
        <v>1770</v>
      </c>
      <c r="Z106" s="36" t="s">
        <v>419</v>
      </c>
      <c r="AA106" s="36" t="s">
        <v>418</v>
      </c>
      <c r="AB106" s="39" t="s">
        <v>1771</v>
      </c>
      <c r="AC106" s="40"/>
      <c r="AD106" s="36" t="s">
        <v>432</v>
      </c>
      <c r="AE106" s="36" t="s">
        <v>418</v>
      </c>
      <c r="AF106" s="36" t="s">
        <v>419</v>
      </c>
      <c r="AG106" s="36"/>
      <c r="AH106" s="36" t="s">
        <v>1772</v>
      </c>
      <c r="AI106" s="36" t="s">
        <v>1773</v>
      </c>
      <c r="AJ106" s="39" t="s">
        <v>656</v>
      </c>
    </row>
    <row r="107" customFormat="false" ht="23.25" hidden="false" customHeight="true" outlineLevel="0" collapsed="false">
      <c r="A107" s="36" t="s">
        <v>1774</v>
      </c>
      <c r="B107" s="37" t="s">
        <v>1775</v>
      </c>
      <c r="C107" s="37" t="s">
        <v>751</v>
      </c>
      <c r="D107" s="38" t="s">
        <v>752</v>
      </c>
      <c r="E107" s="37" t="s">
        <v>526</v>
      </c>
      <c r="F107" s="37" t="s">
        <v>753</v>
      </c>
      <c r="G107" s="36" t="s">
        <v>415</v>
      </c>
      <c r="H107" s="36" t="s">
        <v>468</v>
      </c>
      <c r="I107" s="38" t="s">
        <v>856</v>
      </c>
      <c r="J107" s="36" t="s">
        <v>53</v>
      </c>
      <c r="K107" s="36" t="s">
        <v>418</v>
      </c>
      <c r="L107" s="36" t="s">
        <v>419</v>
      </c>
      <c r="M107" s="36" t="s">
        <v>420</v>
      </c>
      <c r="N107" s="36" t="s">
        <v>470</v>
      </c>
      <c r="O107" s="38" t="s">
        <v>1776</v>
      </c>
      <c r="P107" s="38" t="s">
        <v>1777</v>
      </c>
      <c r="Q107" s="38" t="s">
        <v>1778</v>
      </c>
      <c r="R107" s="38" t="s">
        <v>1779</v>
      </c>
      <c r="S107" s="38" t="s">
        <v>1780</v>
      </c>
      <c r="T107" s="38" t="s">
        <v>1781</v>
      </c>
      <c r="U107" s="38" t="s">
        <v>1782</v>
      </c>
      <c r="V107" s="36" t="n">
        <v>5</v>
      </c>
      <c r="W107" s="36" t="n">
        <v>0</v>
      </c>
      <c r="X107" s="39" t="s">
        <v>1783</v>
      </c>
      <c r="Y107" s="39" t="s">
        <v>1784</v>
      </c>
      <c r="Z107" s="36" t="s">
        <v>419</v>
      </c>
      <c r="AA107" s="36" t="s">
        <v>418</v>
      </c>
      <c r="AB107" s="39" t="s">
        <v>865</v>
      </c>
      <c r="AC107" s="40"/>
      <c r="AD107" s="36" t="s">
        <v>432</v>
      </c>
      <c r="AE107" s="36" t="s">
        <v>418</v>
      </c>
      <c r="AF107" s="36" t="s">
        <v>419</v>
      </c>
      <c r="AG107" s="36"/>
      <c r="AH107" s="36" t="s">
        <v>433</v>
      </c>
      <c r="AI107" s="36" t="s">
        <v>434</v>
      </c>
      <c r="AJ107" s="39" t="s">
        <v>539</v>
      </c>
    </row>
    <row r="108" customFormat="false" ht="23.25" hidden="false" customHeight="true" outlineLevel="0" collapsed="false">
      <c r="A108" s="36" t="s">
        <v>1785</v>
      </c>
      <c r="B108" s="37" t="s">
        <v>1786</v>
      </c>
      <c r="C108" s="37" t="s">
        <v>751</v>
      </c>
      <c r="D108" s="38" t="s">
        <v>1787</v>
      </c>
      <c r="E108" s="37" t="s">
        <v>613</v>
      </c>
      <c r="F108" s="37" t="s">
        <v>805</v>
      </c>
      <c r="G108" s="36" t="s">
        <v>500</v>
      </c>
      <c r="H108" s="36" t="s">
        <v>468</v>
      </c>
      <c r="I108" s="38" t="s">
        <v>856</v>
      </c>
      <c r="J108" s="36" t="s">
        <v>53</v>
      </c>
      <c r="K108" s="36" t="s">
        <v>418</v>
      </c>
      <c r="L108" s="36" t="s">
        <v>419</v>
      </c>
      <c r="M108" s="36" t="s">
        <v>469</v>
      </c>
      <c r="N108" s="36" t="s">
        <v>470</v>
      </c>
      <c r="O108" s="38" t="s">
        <v>1788</v>
      </c>
      <c r="P108" s="38" t="s">
        <v>1789</v>
      </c>
      <c r="Q108" s="38" t="s">
        <v>1790</v>
      </c>
      <c r="R108" s="38" t="s">
        <v>1791</v>
      </c>
      <c r="S108" s="38" t="s">
        <v>1481</v>
      </c>
      <c r="T108" s="38" t="s">
        <v>1792</v>
      </c>
      <c r="U108" s="38" t="s">
        <v>1793</v>
      </c>
      <c r="V108" s="36" t="n">
        <v>3</v>
      </c>
      <c r="W108" s="36" t="n">
        <v>0</v>
      </c>
      <c r="X108" s="39" t="s">
        <v>828</v>
      </c>
      <c r="Y108" s="39" t="s">
        <v>1794</v>
      </c>
      <c r="Z108" s="36" t="s">
        <v>419</v>
      </c>
      <c r="AA108" s="36" t="s">
        <v>418</v>
      </c>
      <c r="AB108" s="39" t="s">
        <v>865</v>
      </c>
      <c r="AC108" s="40"/>
      <c r="AD108" s="36" t="s">
        <v>432</v>
      </c>
      <c r="AE108" s="36" t="s">
        <v>418</v>
      </c>
      <c r="AF108" s="36" t="s">
        <v>419</v>
      </c>
      <c r="AG108" s="36"/>
      <c r="AH108" s="36" t="s">
        <v>433</v>
      </c>
      <c r="AI108" s="36" t="s">
        <v>434</v>
      </c>
      <c r="AJ108" s="39" t="s">
        <v>639</v>
      </c>
    </row>
    <row r="109" customFormat="false" ht="23.25" hidden="false" customHeight="true" outlineLevel="0" collapsed="false">
      <c r="A109" s="36" t="s">
        <v>1795</v>
      </c>
      <c r="B109" s="37" t="s">
        <v>1796</v>
      </c>
      <c r="C109" s="37" t="s">
        <v>879</v>
      </c>
      <c r="D109" s="38" t="s">
        <v>1020</v>
      </c>
      <c r="E109" s="37" t="s">
        <v>500</v>
      </c>
      <c r="F109" s="37" t="s">
        <v>961</v>
      </c>
      <c r="G109" s="36" t="s">
        <v>500</v>
      </c>
      <c r="H109" s="36" t="s">
        <v>468</v>
      </c>
      <c r="I109" s="38" t="s">
        <v>1797</v>
      </c>
      <c r="J109" s="36" t="s">
        <v>417</v>
      </c>
      <c r="K109" s="36" t="s">
        <v>418</v>
      </c>
      <c r="L109" s="36" t="s">
        <v>418</v>
      </c>
      <c r="M109" s="36" t="s">
        <v>469</v>
      </c>
      <c r="N109" s="36" t="s">
        <v>440</v>
      </c>
      <c r="O109" s="38" t="s">
        <v>1798</v>
      </c>
      <c r="P109" s="38" t="s">
        <v>1799</v>
      </c>
      <c r="Q109" s="38" t="s">
        <v>1800</v>
      </c>
      <c r="R109" s="38" t="s">
        <v>1801</v>
      </c>
      <c r="S109" s="38" t="s">
        <v>1802</v>
      </c>
      <c r="T109" s="38" t="s">
        <v>1803</v>
      </c>
      <c r="U109" s="38" t="s">
        <v>1804</v>
      </c>
      <c r="V109" s="36" t="n">
        <v>4</v>
      </c>
      <c r="W109" s="36" t="n">
        <v>0</v>
      </c>
      <c r="X109" s="39" t="s">
        <v>1805</v>
      </c>
      <c r="Y109" s="39" t="s">
        <v>1806</v>
      </c>
      <c r="Z109" s="36" t="s">
        <v>419</v>
      </c>
      <c r="AA109" s="36" t="s">
        <v>418</v>
      </c>
      <c r="AB109" s="39" t="s">
        <v>1807</v>
      </c>
      <c r="AC109" s="40"/>
      <c r="AD109" s="36" t="s">
        <v>432</v>
      </c>
      <c r="AE109" s="36" t="s">
        <v>418</v>
      </c>
      <c r="AF109" s="36" t="s">
        <v>419</v>
      </c>
      <c r="AG109" s="36"/>
      <c r="AH109" s="36" t="s">
        <v>480</v>
      </c>
      <c r="AI109" s="36" t="s">
        <v>481</v>
      </c>
      <c r="AJ109" s="39" t="s">
        <v>973</v>
      </c>
    </row>
    <row r="110" customFormat="false" ht="23.25" hidden="false" customHeight="true" outlineLevel="0" collapsed="false">
      <c r="A110" s="36" t="s">
        <v>1808</v>
      </c>
      <c r="B110" s="37" t="s">
        <v>1809</v>
      </c>
      <c r="C110" s="37" t="s">
        <v>1049</v>
      </c>
      <c r="D110" s="38" t="s">
        <v>1168</v>
      </c>
      <c r="E110" s="37" t="s">
        <v>500</v>
      </c>
      <c r="F110" s="37" t="s">
        <v>1169</v>
      </c>
      <c r="G110" s="36" t="s">
        <v>500</v>
      </c>
      <c r="H110" s="36" t="s">
        <v>468</v>
      </c>
      <c r="I110" s="38" t="s">
        <v>856</v>
      </c>
      <c r="J110" s="36" t="s">
        <v>53</v>
      </c>
      <c r="K110" s="36" t="s">
        <v>418</v>
      </c>
      <c r="L110" s="36" t="s">
        <v>419</v>
      </c>
      <c r="M110" s="36" t="s">
        <v>469</v>
      </c>
      <c r="N110" s="36" t="s">
        <v>470</v>
      </c>
      <c r="O110" s="38" t="s">
        <v>1810</v>
      </c>
      <c r="P110" s="38" t="s">
        <v>1811</v>
      </c>
      <c r="Q110" s="38" t="s">
        <v>1812</v>
      </c>
      <c r="R110" s="38" t="s">
        <v>1813</v>
      </c>
      <c r="S110" s="38" t="s">
        <v>1814</v>
      </c>
      <c r="T110" s="38" t="s">
        <v>1815</v>
      </c>
      <c r="U110" s="38" t="s">
        <v>1816</v>
      </c>
      <c r="V110" s="36" t="n">
        <v>4</v>
      </c>
      <c r="W110" s="36" t="n">
        <v>0</v>
      </c>
      <c r="X110" s="39" t="s">
        <v>1817</v>
      </c>
      <c r="Y110" s="39" t="s">
        <v>1818</v>
      </c>
      <c r="Z110" s="36" t="s">
        <v>419</v>
      </c>
      <c r="AA110" s="36" t="s">
        <v>418</v>
      </c>
      <c r="AB110" s="39" t="s">
        <v>865</v>
      </c>
      <c r="AC110" s="40"/>
      <c r="AD110" s="36" t="s">
        <v>432</v>
      </c>
      <c r="AE110" s="36" t="s">
        <v>418</v>
      </c>
      <c r="AF110" s="36" t="s">
        <v>419</v>
      </c>
      <c r="AG110" s="36"/>
      <c r="AH110" s="36" t="s">
        <v>433</v>
      </c>
      <c r="AI110" s="36" t="s">
        <v>434</v>
      </c>
      <c r="AJ110" s="39" t="s">
        <v>1102</v>
      </c>
    </row>
    <row r="111" customFormat="false" ht="23.25" hidden="false" customHeight="true" outlineLevel="0" collapsed="false">
      <c r="A111" s="36" t="s">
        <v>1819</v>
      </c>
      <c r="B111" s="37" t="s">
        <v>1820</v>
      </c>
      <c r="C111" s="37" t="s">
        <v>1049</v>
      </c>
      <c r="D111" s="38" t="s">
        <v>1129</v>
      </c>
      <c r="E111" s="37" t="s">
        <v>500</v>
      </c>
      <c r="F111" s="37" t="s">
        <v>1090</v>
      </c>
      <c r="G111" s="36" t="s">
        <v>500</v>
      </c>
      <c r="H111" s="36" t="s">
        <v>468</v>
      </c>
      <c r="I111" s="38" t="s">
        <v>1821</v>
      </c>
      <c r="J111" s="36" t="s">
        <v>53</v>
      </c>
      <c r="K111" s="36" t="s">
        <v>418</v>
      </c>
      <c r="L111" s="36" t="s">
        <v>418</v>
      </c>
      <c r="M111" s="36" t="s">
        <v>469</v>
      </c>
      <c r="N111" s="36" t="s">
        <v>470</v>
      </c>
      <c r="O111" s="38" t="s">
        <v>1822</v>
      </c>
      <c r="P111" s="38" t="s">
        <v>1823</v>
      </c>
      <c r="Q111" s="38" t="s">
        <v>1824</v>
      </c>
      <c r="R111" s="38" t="s">
        <v>1825</v>
      </c>
      <c r="S111" s="38" t="s">
        <v>1826</v>
      </c>
      <c r="T111" s="38" t="s">
        <v>1827</v>
      </c>
      <c r="U111" s="38" t="s">
        <v>1828</v>
      </c>
      <c r="V111" s="36" t="n">
        <v>4</v>
      </c>
      <c r="W111" s="36" t="n">
        <v>0</v>
      </c>
      <c r="X111" s="39" t="s">
        <v>1099</v>
      </c>
      <c r="Y111" s="39" t="s">
        <v>1829</v>
      </c>
      <c r="Z111" s="36" t="s">
        <v>419</v>
      </c>
      <c r="AA111" s="36" t="s">
        <v>418</v>
      </c>
      <c r="AB111" s="39" t="s">
        <v>1830</v>
      </c>
      <c r="AC111" s="40"/>
      <c r="AD111" s="36" t="s">
        <v>432</v>
      </c>
      <c r="AE111" s="36" t="s">
        <v>419</v>
      </c>
      <c r="AF111" s="36" t="s">
        <v>419</v>
      </c>
      <c r="AG111" s="36"/>
      <c r="AH111" s="36" t="s">
        <v>480</v>
      </c>
      <c r="AI111" s="36" t="s">
        <v>481</v>
      </c>
      <c r="AJ111" s="39" t="s">
        <v>1102</v>
      </c>
    </row>
    <row r="112" customFormat="false" ht="23.25" hidden="false" customHeight="true" outlineLevel="0" collapsed="false">
      <c r="A112" s="36" t="s">
        <v>1831</v>
      </c>
      <c r="B112" s="37" t="s">
        <v>1832</v>
      </c>
      <c r="C112" s="37" t="s">
        <v>1377</v>
      </c>
      <c r="D112" s="38" t="s">
        <v>1833</v>
      </c>
      <c r="E112" s="37" t="s">
        <v>1419</v>
      </c>
      <c r="F112" s="37" t="s">
        <v>1420</v>
      </c>
      <c r="G112" s="36" t="s">
        <v>500</v>
      </c>
      <c r="H112" s="36" t="s">
        <v>468</v>
      </c>
      <c r="I112" s="38" t="s">
        <v>1834</v>
      </c>
      <c r="J112" s="36" t="s">
        <v>53</v>
      </c>
      <c r="K112" s="36" t="s">
        <v>418</v>
      </c>
      <c r="L112" s="36" t="s">
        <v>419</v>
      </c>
      <c r="M112" s="36" t="s">
        <v>469</v>
      </c>
      <c r="N112" s="36" t="s">
        <v>470</v>
      </c>
      <c r="O112" s="38" t="s">
        <v>1835</v>
      </c>
      <c r="P112" s="38" t="s">
        <v>1836</v>
      </c>
      <c r="Q112" s="38" t="s">
        <v>1837</v>
      </c>
      <c r="R112" s="38" t="s">
        <v>1838</v>
      </c>
      <c r="S112" s="38" t="s">
        <v>1839</v>
      </c>
      <c r="T112" s="38" t="s">
        <v>1840</v>
      </c>
      <c r="U112" s="38" t="s">
        <v>1841</v>
      </c>
      <c r="V112" s="36" t="n">
        <v>4</v>
      </c>
      <c r="W112" s="36" t="n">
        <v>0</v>
      </c>
      <c r="X112" s="39" t="s">
        <v>1428</v>
      </c>
      <c r="Y112" s="39" t="s">
        <v>1842</v>
      </c>
      <c r="Z112" s="36" t="s">
        <v>419</v>
      </c>
      <c r="AA112" s="36" t="s">
        <v>418</v>
      </c>
      <c r="AB112" s="39" t="s">
        <v>26</v>
      </c>
      <c r="AC112" s="40" t="s">
        <v>1843</v>
      </c>
      <c r="AD112" s="36" t="s">
        <v>432</v>
      </c>
      <c r="AE112" s="36" t="s">
        <v>419</v>
      </c>
      <c r="AF112" s="36" t="s">
        <v>419</v>
      </c>
      <c r="AG112" s="36"/>
      <c r="AH112" s="36" t="s">
        <v>433</v>
      </c>
      <c r="AI112" s="36" t="s">
        <v>434</v>
      </c>
      <c r="AJ112" s="39" t="s">
        <v>1430</v>
      </c>
    </row>
    <row r="113" customFormat="false" ht="23.25" hidden="false" customHeight="true" outlineLevel="0" collapsed="false">
      <c r="A113" s="36" t="s">
        <v>1844</v>
      </c>
      <c r="B113" s="37" t="s">
        <v>1845</v>
      </c>
      <c r="C113" s="37" t="s">
        <v>1585</v>
      </c>
      <c r="D113" s="38" t="s">
        <v>1846</v>
      </c>
      <c r="E113" s="37" t="s">
        <v>1671</v>
      </c>
      <c r="F113" s="37" t="s">
        <v>1672</v>
      </c>
      <c r="G113" s="36" t="s">
        <v>415</v>
      </c>
      <c r="H113" s="36" t="s">
        <v>468</v>
      </c>
      <c r="I113" s="38" t="s">
        <v>87</v>
      </c>
      <c r="J113" s="36" t="s">
        <v>53</v>
      </c>
      <c r="K113" s="36" t="s">
        <v>418</v>
      </c>
      <c r="L113" s="36" t="s">
        <v>418</v>
      </c>
      <c r="M113" s="36" t="s">
        <v>1643</v>
      </c>
      <c r="N113" s="36" t="s">
        <v>924</v>
      </c>
      <c r="O113" s="38" t="s">
        <v>1847</v>
      </c>
      <c r="P113" s="38" t="s">
        <v>1848</v>
      </c>
      <c r="Q113" s="38" t="s">
        <v>1849</v>
      </c>
      <c r="R113" s="38" t="s">
        <v>1850</v>
      </c>
      <c r="S113" s="38" t="s">
        <v>1851</v>
      </c>
      <c r="T113" s="38" t="s">
        <v>1852</v>
      </c>
      <c r="U113" s="38" t="s">
        <v>1853</v>
      </c>
      <c r="V113" s="36" t="n">
        <v>4</v>
      </c>
      <c r="W113" s="36" t="n">
        <v>0</v>
      </c>
      <c r="X113" s="39" t="s">
        <v>1854</v>
      </c>
      <c r="Y113" s="39" t="s">
        <v>1855</v>
      </c>
      <c r="Z113" s="36" t="s">
        <v>419</v>
      </c>
      <c r="AA113" s="36" t="s">
        <v>418</v>
      </c>
      <c r="AB113" s="39" t="s">
        <v>26</v>
      </c>
      <c r="AC113" s="40"/>
      <c r="AD113" s="36" t="s">
        <v>342</v>
      </c>
      <c r="AE113" s="36" t="s">
        <v>418</v>
      </c>
      <c r="AF113" s="36" t="s">
        <v>419</v>
      </c>
      <c r="AG113" s="36"/>
      <c r="AH113" s="36" t="s">
        <v>1653</v>
      </c>
      <c r="AI113" s="36" t="s">
        <v>1654</v>
      </c>
      <c r="AJ113" s="39" t="s">
        <v>1682</v>
      </c>
    </row>
    <row r="114" customFormat="false" ht="23.25" hidden="false" customHeight="true" outlineLevel="0" collapsed="false">
      <c r="A114" s="36" t="s">
        <v>1856</v>
      </c>
      <c r="B114" s="37" t="s">
        <v>1857</v>
      </c>
      <c r="C114" s="37" t="s">
        <v>1585</v>
      </c>
      <c r="D114" s="38" t="s">
        <v>1858</v>
      </c>
      <c r="E114" s="37" t="s">
        <v>596</v>
      </c>
      <c r="F114" s="37" t="s">
        <v>1587</v>
      </c>
      <c r="G114" s="36" t="s">
        <v>415</v>
      </c>
      <c r="H114" s="36" t="s">
        <v>438</v>
      </c>
      <c r="I114" s="38" t="s">
        <v>1859</v>
      </c>
      <c r="J114" s="36" t="s">
        <v>53</v>
      </c>
      <c r="K114" s="36" t="s">
        <v>418</v>
      </c>
      <c r="L114" s="36" t="s">
        <v>419</v>
      </c>
      <c r="M114" s="36" t="s">
        <v>1037</v>
      </c>
      <c r="N114" s="36" t="s">
        <v>924</v>
      </c>
      <c r="O114" s="38" t="s">
        <v>1860</v>
      </c>
      <c r="P114" s="38" t="s">
        <v>1861</v>
      </c>
      <c r="Q114" s="38" t="s">
        <v>1862</v>
      </c>
      <c r="R114" s="38" t="s">
        <v>1863</v>
      </c>
      <c r="S114" s="38" t="s">
        <v>1864</v>
      </c>
      <c r="T114" s="38" t="s">
        <v>1865</v>
      </c>
      <c r="U114" s="38" t="s">
        <v>1866</v>
      </c>
      <c r="V114" s="36" t="n">
        <v>5</v>
      </c>
      <c r="W114" s="36" t="n">
        <v>2</v>
      </c>
      <c r="X114" s="39" t="s">
        <v>1045</v>
      </c>
      <c r="Y114" s="39" t="s">
        <v>1867</v>
      </c>
      <c r="Z114" s="36" t="s">
        <v>418</v>
      </c>
      <c r="AA114" s="36" t="s">
        <v>418</v>
      </c>
      <c r="AB114" s="39" t="s">
        <v>789</v>
      </c>
      <c r="AC114" s="40"/>
      <c r="AD114" s="36" t="s">
        <v>1598</v>
      </c>
      <c r="AE114" s="36" t="s">
        <v>418</v>
      </c>
      <c r="AF114" s="36" t="s">
        <v>419</v>
      </c>
      <c r="AG114" s="36"/>
      <c r="AH114" s="36" t="s">
        <v>480</v>
      </c>
      <c r="AI114" s="36" t="s">
        <v>481</v>
      </c>
      <c r="AJ114" s="39" t="s">
        <v>609</v>
      </c>
    </row>
    <row r="115" customFormat="false" ht="23.25" hidden="false" customHeight="true" outlineLevel="0" collapsed="false">
      <c r="A115" s="40" t="s">
        <v>1868</v>
      </c>
      <c r="B115" s="40" t="s">
        <v>1869</v>
      </c>
      <c r="C115" s="40" t="s">
        <v>1585</v>
      </c>
      <c r="D115" s="40" t="s">
        <v>1870</v>
      </c>
      <c r="E115" s="40" t="s">
        <v>1671</v>
      </c>
      <c r="F115" s="40" t="s">
        <v>1672</v>
      </c>
      <c r="G115" s="40" t="s">
        <v>415</v>
      </c>
      <c r="H115" s="40" t="s">
        <v>78</v>
      </c>
      <c r="I115" s="40" t="s">
        <v>1871</v>
      </c>
      <c r="J115" s="40" t="s">
        <v>53</v>
      </c>
      <c r="K115" s="40" t="s">
        <v>418</v>
      </c>
      <c r="L115" s="40" t="s">
        <v>418</v>
      </c>
      <c r="M115" s="40" t="s">
        <v>1643</v>
      </c>
      <c r="N115" s="40" t="s">
        <v>924</v>
      </c>
      <c r="O115" s="39" t="s">
        <v>1872</v>
      </c>
      <c r="P115" s="39" t="s">
        <v>1873</v>
      </c>
      <c r="Q115" s="39" t="s">
        <v>1874</v>
      </c>
      <c r="R115" s="39" t="s">
        <v>1875</v>
      </c>
      <c r="S115" s="39" t="s">
        <v>1876</v>
      </c>
      <c r="T115" s="39" t="s">
        <v>1877</v>
      </c>
      <c r="U115" s="39" t="s">
        <v>1878</v>
      </c>
      <c r="V115" s="36" t="n">
        <v>5</v>
      </c>
      <c r="W115" s="36" t="n">
        <v>4</v>
      </c>
      <c r="X115" s="39" t="s">
        <v>1879</v>
      </c>
      <c r="Y115" s="40" t="s">
        <v>1880</v>
      </c>
      <c r="Z115" s="36" t="s">
        <v>419</v>
      </c>
      <c r="AA115" s="36" t="s">
        <v>418</v>
      </c>
      <c r="AB115" s="39" t="s">
        <v>1881</v>
      </c>
      <c r="AC115" s="40"/>
      <c r="AD115" s="36" t="s">
        <v>1598</v>
      </c>
      <c r="AE115" s="36" t="s">
        <v>418</v>
      </c>
      <c r="AF115" s="36" t="s">
        <v>419</v>
      </c>
      <c r="AG115" s="40"/>
      <c r="AH115" s="40" t="s">
        <v>1653</v>
      </c>
      <c r="AI115" s="40" t="s">
        <v>1654</v>
      </c>
      <c r="AJ115" s="39" t="s">
        <v>1682</v>
      </c>
    </row>
    <row r="116" customFormat="false" ht="23.25" hidden="false" customHeight="true" outlineLevel="0" collapsed="false">
      <c r="A116" s="40" t="s">
        <v>1882</v>
      </c>
      <c r="B116" s="40" t="s">
        <v>1883</v>
      </c>
      <c r="C116" s="40" t="s">
        <v>1585</v>
      </c>
      <c r="D116" s="40" t="s">
        <v>1884</v>
      </c>
      <c r="E116" s="40" t="s">
        <v>1671</v>
      </c>
      <c r="F116" s="40" t="s">
        <v>1672</v>
      </c>
      <c r="G116" s="40" t="s">
        <v>415</v>
      </c>
      <c r="H116" s="40" t="s">
        <v>78</v>
      </c>
      <c r="I116" s="40" t="s">
        <v>1885</v>
      </c>
      <c r="J116" s="40" t="s">
        <v>53</v>
      </c>
      <c r="K116" s="40" t="s">
        <v>418</v>
      </c>
      <c r="L116" s="40" t="s">
        <v>418</v>
      </c>
      <c r="M116" s="40" t="s">
        <v>1643</v>
      </c>
      <c r="N116" s="40" t="s">
        <v>924</v>
      </c>
      <c r="O116" s="39" t="s">
        <v>1886</v>
      </c>
      <c r="P116" s="39" t="s">
        <v>1887</v>
      </c>
      <c r="Q116" s="39" t="s">
        <v>1888</v>
      </c>
      <c r="R116" s="39" t="s">
        <v>1889</v>
      </c>
      <c r="S116" s="39" t="s">
        <v>1890</v>
      </c>
      <c r="T116" s="39" t="s">
        <v>1891</v>
      </c>
      <c r="U116" s="39" t="s">
        <v>1892</v>
      </c>
      <c r="V116" s="36" t="n">
        <v>5</v>
      </c>
      <c r="W116" s="36" t="n">
        <v>4</v>
      </c>
      <c r="X116" s="39" t="s">
        <v>1893</v>
      </c>
      <c r="Y116" s="40" t="s">
        <v>1894</v>
      </c>
      <c r="Z116" s="36" t="s">
        <v>419</v>
      </c>
      <c r="AA116" s="36" t="s">
        <v>418</v>
      </c>
      <c r="AB116" s="39" t="s">
        <v>1895</v>
      </c>
      <c r="AC116" s="40"/>
      <c r="AD116" s="36" t="s">
        <v>432</v>
      </c>
      <c r="AE116" s="36" t="s">
        <v>418</v>
      </c>
      <c r="AF116" s="36" t="s">
        <v>419</v>
      </c>
      <c r="AG116" s="40"/>
      <c r="AH116" s="40" t="s">
        <v>1653</v>
      </c>
      <c r="AI116" s="40" t="s">
        <v>1654</v>
      </c>
      <c r="AJ116" s="39" t="s">
        <v>920</v>
      </c>
    </row>
    <row r="117" customFormat="false" ht="23.25" hidden="false" customHeight="true" outlineLevel="0" collapsed="false">
      <c r="A117" s="40" t="s">
        <v>1896</v>
      </c>
      <c r="B117" s="40" t="s">
        <v>1897</v>
      </c>
      <c r="C117" s="40" t="s">
        <v>1585</v>
      </c>
      <c r="D117" s="40" t="s">
        <v>1870</v>
      </c>
      <c r="E117" s="40" t="s">
        <v>1671</v>
      </c>
      <c r="F117" s="40" t="s">
        <v>1672</v>
      </c>
      <c r="G117" s="40" t="s">
        <v>415</v>
      </c>
      <c r="H117" s="40" t="s">
        <v>78</v>
      </c>
      <c r="I117" s="40" t="s">
        <v>1898</v>
      </c>
      <c r="J117" s="40" t="s">
        <v>53</v>
      </c>
      <c r="K117" s="40" t="s">
        <v>418</v>
      </c>
      <c r="L117" s="40" t="s">
        <v>418</v>
      </c>
      <c r="M117" s="40" t="s">
        <v>1643</v>
      </c>
      <c r="N117" s="40" t="s">
        <v>924</v>
      </c>
      <c r="O117" s="39" t="s">
        <v>1899</v>
      </c>
      <c r="P117" s="39" t="s">
        <v>1900</v>
      </c>
      <c r="Q117" s="39" t="s">
        <v>1901</v>
      </c>
      <c r="R117" s="39" t="s">
        <v>1902</v>
      </c>
      <c r="S117" s="39" t="s">
        <v>1903</v>
      </c>
      <c r="T117" s="39" t="s">
        <v>1904</v>
      </c>
      <c r="U117" s="39" t="s">
        <v>1905</v>
      </c>
      <c r="V117" s="36" t="n">
        <v>4</v>
      </c>
      <c r="W117" s="36" t="n">
        <v>4</v>
      </c>
      <c r="X117" s="39" t="s">
        <v>1906</v>
      </c>
      <c r="Y117" s="40" t="s">
        <v>1907</v>
      </c>
      <c r="Z117" s="36" t="s">
        <v>419</v>
      </c>
      <c r="AA117" s="36" t="s">
        <v>418</v>
      </c>
      <c r="AB117" s="39" t="s">
        <v>1722</v>
      </c>
      <c r="AC117" s="40"/>
      <c r="AD117" s="36" t="s">
        <v>432</v>
      </c>
      <c r="AE117" s="36" t="s">
        <v>418</v>
      </c>
      <c r="AF117" s="36" t="s">
        <v>419</v>
      </c>
      <c r="AG117" s="40"/>
      <c r="AH117" s="40" t="s">
        <v>1653</v>
      </c>
      <c r="AI117" s="40" t="s">
        <v>1654</v>
      </c>
      <c r="AJ117" s="39" t="s">
        <v>973</v>
      </c>
    </row>
  </sheetData>
  <autoFilter ref="A4:AJ1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2"/>
    <col collapsed="false" customWidth="true" hidden="false" outlineLevel="0" max="4" min="4" style="1" width="9"/>
    <col collapsed="false" customWidth="true" hidden="false" outlineLevel="0" max="5" min="5" style="1" width="20"/>
  </cols>
  <sheetData>
    <row r="1" customFormat="false" ht="17.25" hidden="false" customHeight="true" outlineLevel="0" collapsed="false">
      <c r="A1" s="45" t="s">
        <v>230</v>
      </c>
    </row>
    <row r="2" customFormat="false" ht="15" hidden="false" customHeight="true" outlineLevel="0" collapsed="false">
      <c r="A2" s="16" t="s">
        <v>1908</v>
      </c>
    </row>
    <row r="4" customFormat="false" ht="26.25" hidden="false" customHeight="true" outlineLevel="0" collapsed="false">
      <c r="A4" s="4" t="s">
        <v>1909</v>
      </c>
      <c r="B4" s="4" t="s">
        <v>1910</v>
      </c>
      <c r="C4" s="4" t="s">
        <v>1911</v>
      </c>
      <c r="D4" s="4" t="s">
        <v>1912</v>
      </c>
      <c r="E4" s="4" t="s">
        <v>1913</v>
      </c>
    </row>
    <row r="5" customFormat="false" ht="15" hidden="false" customHeight="true" outlineLevel="0" collapsed="false">
      <c r="A5" s="46" t="s">
        <v>1914</v>
      </c>
      <c r="B5" s="24" t="s">
        <v>409</v>
      </c>
      <c r="C5" s="24" t="s">
        <v>436</v>
      </c>
      <c r="D5" s="24" t="n">
        <v>1</v>
      </c>
      <c r="E5" s="24" t="s">
        <v>1915</v>
      </c>
    </row>
    <row r="6" customFormat="false" ht="15" hidden="false" customHeight="true" outlineLevel="0" collapsed="false">
      <c r="A6" s="46" t="s">
        <v>1916</v>
      </c>
      <c r="B6" s="24" t="s">
        <v>409</v>
      </c>
      <c r="C6" s="24" t="s">
        <v>482</v>
      </c>
      <c r="D6" s="24" t="n">
        <v>2</v>
      </c>
      <c r="E6" s="24" t="s">
        <v>1915</v>
      </c>
    </row>
    <row r="7" customFormat="false" ht="15" hidden="false" customHeight="true" outlineLevel="0" collapsed="false">
      <c r="A7" s="46" t="s">
        <v>1917</v>
      </c>
      <c r="B7" s="24" t="s">
        <v>409</v>
      </c>
      <c r="C7" s="24" t="s">
        <v>540</v>
      </c>
      <c r="D7" s="24" t="n">
        <v>3</v>
      </c>
      <c r="E7" s="24" t="s">
        <v>1915</v>
      </c>
    </row>
    <row r="8" customFormat="false" ht="15" hidden="false" customHeight="true" outlineLevel="0" collapsed="false">
      <c r="A8" s="46" t="s">
        <v>1918</v>
      </c>
      <c r="B8" s="24" t="s">
        <v>409</v>
      </c>
      <c r="C8" s="24" t="s">
        <v>451</v>
      </c>
      <c r="D8" s="24" t="n">
        <v>4</v>
      </c>
      <c r="E8" s="24" t="s">
        <v>1915</v>
      </c>
    </row>
    <row r="9" customFormat="false" ht="15" hidden="false" customHeight="true" outlineLevel="0" collapsed="false">
      <c r="A9" s="46" t="s">
        <v>1919</v>
      </c>
      <c r="B9" s="24" t="s">
        <v>409</v>
      </c>
      <c r="C9" s="24" t="s">
        <v>1288</v>
      </c>
      <c r="D9" s="24" t="n">
        <v>5</v>
      </c>
      <c r="E9" s="24" t="s">
        <v>1920</v>
      </c>
    </row>
    <row r="10" customFormat="false" ht="15" hidden="false" customHeight="true" outlineLevel="0" collapsed="false">
      <c r="A10" s="46" t="s">
        <v>1921</v>
      </c>
      <c r="B10" s="24" t="s">
        <v>409</v>
      </c>
      <c r="C10" s="24" t="s">
        <v>554</v>
      </c>
      <c r="D10" s="24" t="n">
        <v>6</v>
      </c>
      <c r="E10" s="24" t="s">
        <v>1915</v>
      </c>
    </row>
    <row r="11" customFormat="false" ht="15" hidden="false" customHeight="true" outlineLevel="0" collapsed="false">
      <c r="A11" s="46" t="s">
        <v>1922</v>
      </c>
      <c r="B11" s="24" t="s">
        <v>409</v>
      </c>
      <c r="C11" s="24" t="s">
        <v>580</v>
      </c>
      <c r="D11" s="24" t="n">
        <v>7</v>
      </c>
      <c r="E11" s="24" t="s">
        <v>1915</v>
      </c>
    </row>
    <row r="12" customFormat="false" ht="15" hidden="false" customHeight="true" outlineLevel="0" collapsed="false">
      <c r="A12" s="46" t="s">
        <v>1923</v>
      </c>
      <c r="B12" s="24" t="s">
        <v>409</v>
      </c>
      <c r="C12" s="24" t="s">
        <v>465</v>
      </c>
      <c r="D12" s="24" t="n">
        <v>8</v>
      </c>
      <c r="E12" s="24" t="s">
        <v>1915</v>
      </c>
    </row>
    <row r="13" customFormat="false" ht="15" hidden="false" customHeight="true" outlineLevel="0" collapsed="false">
      <c r="A13" s="46" t="s">
        <v>1924</v>
      </c>
      <c r="B13" s="24" t="s">
        <v>409</v>
      </c>
      <c r="C13" s="24" t="s">
        <v>567</v>
      </c>
      <c r="D13" s="24" t="n">
        <v>9</v>
      </c>
      <c r="E13" s="24" t="s">
        <v>1915</v>
      </c>
    </row>
    <row r="14" customFormat="false" ht="15" hidden="false" customHeight="true" outlineLevel="0" collapsed="false">
      <c r="A14" s="46" t="s">
        <v>1925</v>
      </c>
      <c r="B14" s="24" t="s">
        <v>409</v>
      </c>
      <c r="C14" s="24" t="s">
        <v>512</v>
      </c>
      <c r="D14" s="24" t="n">
        <v>10</v>
      </c>
      <c r="E14" s="24" t="s">
        <v>1920</v>
      </c>
    </row>
    <row r="15" customFormat="false" ht="15" hidden="false" customHeight="true" outlineLevel="0" collapsed="false">
      <c r="A15" s="46" t="s">
        <v>1926</v>
      </c>
      <c r="B15" s="24" t="s">
        <v>436</v>
      </c>
      <c r="C15" s="24" t="s">
        <v>482</v>
      </c>
      <c r="D15" s="24" t="n">
        <v>1</v>
      </c>
      <c r="E15" s="24" t="s">
        <v>1915</v>
      </c>
    </row>
    <row r="16" customFormat="false" ht="15" hidden="false" customHeight="true" outlineLevel="0" collapsed="false">
      <c r="A16" s="46" t="s">
        <v>1927</v>
      </c>
      <c r="B16" s="24" t="s">
        <v>436</v>
      </c>
      <c r="C16" s="24" t="s">
        <v>409</v>
      </c>
      <c r="D16" s="24" t="n">
        <v>2</v>
      </c>
      <c r="E16" s="24" t="s">
        <v>1915</v>
      </c>
    </row>
    <row r="17" customFormat="false" ht="15" hidden="false" customHeight="true" outlineLevel="0" collapsed="false">
      <c r="A17" s="46" t="s">
        <v>1928</v>
      </c>
      <c r="B17" s="24" t="s">
        <v>436</v>
      </c>
      <c r="C17" s="24" t="s">
        <v>451</v>
      </c>
      <c r="D17" s="24" t="n">
        <v>3</v>
      </c>
      <c r="E17" s="24" t="s">
        <v>1915</v>
      </c>
    </row>
    <row r="18" customFormat="false" ht="15" hidden="false" customHeight="true" outlineLevel="0" collapsed="false">
      <c r="A18" s="46" t="s">
        <v>1929</v>
      </c>
      <c r="B18" s="24" t="s">
        <v>436</v>
      </c>
      <c r="C18" s="24" t="s">
        <v>580</v>
      </c>
      <c r="D18" s="24" t="n">
        <v>4</v>
      </c>
      <c r="E18" s="24" t="s">
        <v>1915</v>
      </c>
    </row>
    <row r="19" customFormat="false" ht="15" hidden="false" customHeight="true" outlineLevel="0" collapsed="false">
      <c r="A19" s="46" t="s">
        <v>1930</v>
      </c>
      <c r="B19" s="24" t="s">
        <v>436</v>
      </c>
      <c r="C19" s="24" t="s">
        <v>465</v>
      </c>
      <c r="D19" s="24" t="n">
        <v>5</v>
      </c>
      <c r="E19" s="24" t="s">
        <v>1915</v>
      </c>
    </row>
    <row r="20" customFormat="false" ht="15" hidden="false" customHeight="true" outlineLevel="0" collapsed="false">
      <c r="A20" s="46" t="s">
        <v>1931</v>
      </c>
      <c r="B20" s="24" t="s">
        <v>436</v>
      </c>
      <c r="C20" s="24" t="s">
        <v>567</v>
      </c>
      <c r="D20" s="24" t="n">
        <v>6</v>
      </c>
      <c r="E20" s="24" t="s">
        <v>1915</v>
      </c>
    </row>
    <row r="21" customFormat="false" ht="15" hidden="false" customHeight="true" outlineLevel="0" collapsed="false">
      <c r="A21" s="46" t="s">
        <v>1932</v>
      </c>
      <c r="B21" s="24" t="s">
        <v>436</v>
      </c>
      <c r="C21" s="24" t="s">
        <v>512</v>
      </c>
      <c r="D21" s="24" t="n">
        <v>7</v>
      </c>
      <c r="E21" s="24" t="s">
        <v>1920</v>
      </c>
    </row>
    <row r="22" customFormat="false" ht="15" hidden="false" customHeight="true" outlineLevel="0" collapsed="false">
      <c r="A22" s="46" t="s">
        <v>1933</v>
      </c>
      <c r="B22" s="24" t="s">
        <v>436</v>
      </c>
      <c r="C22" s="24" t="s">
        <v>496</v>
      </c>
      <c r="D22" s="24" t="n">
        <v>8</v>
      </c>
      <c r="E22" s="24" t="s">
        <v>1920</v>
      </c>
    </row>
    <row r="23" customFormat="false" ht="15" hidden="false" customHeight="true" outlineLevel="0" collapsed="false">
      <c r="A23" s="46" t="s">
        <v>1934</v>
      </c>
      <c r="B23" s="24" t="s">
        <v>451</v>
      </c>
      <c r="C23" s="24" t="s">
        <v>540</v>
      </c>
      <c r="D23" s="24" t="n">
        <v>1</v>
      </c>
      <c r="E23" s="24" t="s">
        <v>1915</v>
      </c>
    </row>
    <row r="24" customFormat="false" ht="15" hidden="false" customHeight="true" outlineLevel="0" collapsed="false">
      <c r="A24" s="46" t="s">
        <v>1935</v>
      </c>
      <c r="B24" s="24" t="s">
        <v>451</v>
      </c>
      <c r="C24" s="24" t="s">
        <v>436</v>
      </c>
      <c r="D24" s="24" t="n">
        <v>2</v>
      </c>
      <c r="E24" s="24" t="s">
        <v>1915</v>
      </c>
    </row>
    <row r="25" customFormat="false" ht="15" hidden="false" customHeight="true" outlineLevel="0" collapsed="false">
      <c r="A25" s="46" t="s">
        <v>1936</v>
      </c>
      <c r="B25" s="24" t="s">
        <v>451</v>
      </c>
      <c r="C25" s="24" t="s">
        <v>482</v>
      </c>
      <c r="D25" s="24" t="n">
        <v>3</v>
      </c>
      <c r="E25" s="24" t="s">
        <v>1915</v>
      </c>
    </row>
    <row r="26" customFormat="false" ht="15" hidden="false" customHeight="true" outlineLevel="0" collapsed="false">
      <c r="A26" s="46" t="s">
        <v>1937</v>
      </c>
      <c r="B26" s="24" t="s">
        <v>451</v>
      </c>
      <c r="C26" s="24" t="s">
        <v>409</v>
      </c>
      <c r="D26" s="24" t="n">
        <v>4</v>
      </c>
      <c r="E26" s="24" t="s">
        <v>1915</v>
      </c>
    </row>
    <row r="27" customFormat="false" ht="15" hidden="false" customHeight="true" outlineLevel="0" collapsed="false">
      <c r="A27" s="46" t="s">
        <v>1938</v>
      </c>
      <c r="B27" s="24" t="s">
        <v>451</v>
      </c>
      <c r="C27" s="24" t="s">
        <v>580</v>
      </c>
      <c r="D27" s="24" t="n">
        <v>5</v>
      </c>
      <c r="E27" s="24" t="s">
        <v>1915</v>
      </c>
    </row>
    <row r="28" customFormat="false" ht="15" hidden="false" customHeight="true" outlineLevel="0" collapsed="false">
      <c r="A28" s="46" t="s">
        <v>1939</v>
      </c>
      <c r="B28" s="24" t="s">
        <v>451</v>
      </c>
      <c r="C28" s="24" t="s">
        <v>465</v>
      </c>
      <c r="D28" s="24" t="n">
        <v>6</v>
      </c>
      <c r="E28" s="24" t="s">
        <v>1915</v>
      </c>
    </row>
    <row r="29" customFormat="false" ht="15" hidden="false" customHeight="true" outlineLevel="0" collapsed="false">
      <c r="A29" s="46" t="s">
        <v>1940</v>
      </c>
      <c r="B29" s="24" t="s">
        <v>451</v>
      </c>
      <c r="C29" s="24" t="s">
        <v>567</v>
      </c>
      <c r="D29" s="24" t="n">
        <v>7</v>
      </c>
      <c r="E29" s="24" t="s">
        <v>1915</v>
      </c>
    </row>
    <row r="30" customFormat="false" ht="15" hidden="false" customHeight="true" outlineLevel="0" collapsed="false">
      <c r="A30" s="46" t="s">
        <v>1941</v>
      </c>
      <c r="B30" s="24" t="s">
        <v>451</v>
      </c>
      <c r="C30" s="24" t="s">
        <v>496</v>
      </c>
      <c r="D30" s="24" t="n">
        <v>8</v>
      </c>
      <c r="E30" s="24" t="s">
        <v>1920</v>
      </c>
    </row>
    <row r="31" customFormat="false" ht="15" hidden="false" customHeight="true" outlineLevel="0" collapsed="false">
      <c r="A31" s="46" t="s">
        <v>1942</v>
      </c>
      <c r="B31" s="24" t="s">
        <v>465</v>
      </c>
      <c r="C31" s="24" t="s">
        <v>567</v>
      </c>
      <c r="D31" s="24" t="n">
        <v>1</v>
      </c>
      <c r="E31" s="24" t="s">
        <v>1915</v>
      </c>
    </row>
    <row r="32" customFormat="false" ht="15" hidden="false" customHeight="true" outlineLevel="0" collapsed="false">
      <c r="A32" s="46" t="s">
        <v>1943</v>
      </c>
      <c r="B32" s="24" t="s">
        <v>465</v>
      </c>
      <c r="C32" s="24" t="s">
        <v>580</v>
      </c>
      <c r="D32" s="24" t="n">
        <v>2</v>
      </c>
      <c r="E32" s="24" t="s">
        <v>1915</v>
      </c>
    </row>
    <row r="33" customFormat="false" ht="15" hidden="false" customHeight="true" outlineLevel="0" collapsed="false">
      <c r="A33" s="46" t="s">
        <v>1944</v>
      </c>
      <c r="B33" s="24" t="s">
        <v>465</v>
      </c>
      <c r="C33" s="24" t="s">
        <v>482</v>
      </c>
      <c r="D33" s="24" t="n">
        <v>3</v>
      </c>
      <c r="E33" s="24" t="s">
        <v>1915</v>
      </c>
    </row>
    <row r="34" customFormat="false" ht="15" hidden="false" customHeight="true" outlineLevel="0" collapsed="false">
      <c r="A34" s="46" t="s">
        <v>1945</v>
      </c>
      <c r="B34" s="24" t="s">
        <v>465</v>
      </c>
      <c r="C34" s="24" t="s">
        <v>436</v>
      </c>
      <c r="D34" s="24" t="n">
        <v>4</v>
      </c>
      <c r="E34" s="24" t="s">
        <v>1915</v>
      </c>
    </row>
    <row r="35" customFormat="false" ht="15" hidden="false" customHeight="true" outlineLevel="0" collapsed="false">
      <c r="A35" s="46" t="s">
        <v>1946</v>
      </c>
      <c r="B35" s="24" t="s">
        <v>465</v>
      </c>
      <c r="C35" s="24" t="s">
        <v>409</v>
      </c>
      <c r="D35" s="24" t="n">
        <v>5</v>
      </c>
      <c r="E35" s="24" t="s">
        <v>1915</v>
      </c>
    </row>
    <row r="36" customFormat="false" ht="15" hidden="false" customHeight="true" outlineLevel="0" collapsed="false">
      <c r="A36" s="46" t="s">
        <v>1947</v>
      </c>
      <c r="B36" s="24" t="s">
        <v>465</v>
      </c>
      <c r="C36" s="24" t="s">
        <v>1352</v>
      </c>
      <c r="D36" s="24" t="n">
        <v>6</v>
      </c>
      <c r="E36" s="24" t="s">
        <v>1920</v>
      </c>
    </row>
    <row r="37" customFormat="false" ht="15" hidden="false" customHeight="true" outlineLevel="0" collapsed="false">
      <c r="A37" s="46" t="s">
        <v>1948</v>
      </c>
      <c r="B37" s="24" t="s">
        <v>465</v>
      </c>
      <c r="C37" s="24" t="s">
        <v>512</v>
      </c>
      <c r="D37" s="24" t="n">
        <v>7</v>
      </c>
      <c r="E37" s="24" t="s">
        <v>1920</v>
      </c>
    </row>
    <row r="38" customFormat="false" ht="15" hidden="false" customHeight="true" outlineLevel="0" collapsed="false">
      <c r="A38" s="46" t="s">
        <v>1949</v>
      </c>
      <c r="B38" s="24" t="s">
        <v>482</v>
      </c>
      <c r="C38" s="24" t="s">
        <v>436</v>
      </c>
      <c r="D38" s="24" t="n">
        <v>1</v>
      </c>
      <c r="E38" s="24" t="s">
        <v>1915</v>
      </c>
    </row>
    <row r="39" customFormat="false" ht="15" hidden="false" customHeight="true" outlineLevel="0" collapsed="false">
      <c r="A39" s="46" t="s">
        <v>1950</v>
      </c>
      <c r="B39" s="24" t="s">
        <v>482</v>
      </c>
      <c r="C39" s="24" t="s">
        <v>409</v>
      </c>
      <c r="D39" s="24" t="n">
        <v>2</v>
      </c>
      <c r="E39" s="24" t="s">
        <v>1915</v>
      </c>
    </row>
    <row r="40" customFormat="false" ht="15" hidden="false" customHeight="true" outlineLevel="0" collapsed="false">
      <c r="A40" s="46" t="s">
        <v>1951</v>
      </c>
      <c r="B40" s="24" t="s">
        <v>482</v>
      </c>
      <c r="C40" s="24" t="s">
        <v>451</v>
      </c>
      <c r="D40" s="24" t="n">
        <v>3</v>
      </c>
      <c r="E40" s="24" t="s">
        <v>1915</v>
      </c>
    </row>
    <row r="41" customFormat="false" ht="15" hidden="false" customHeight="true" outlineLevel="0" collapsed="false">
      <c r="A41" s="46" t="s">
        <v>1952</v>
      </c>
      <c r="B41" s="24" t="s">
        <v>482</v>
      </c>
      <c r="C41" s="24" t="s">
        <v>465</v>
      </c>
      <c r="D41" s="24" t="n">
        <v>4</v>
      </c>
      <c r="E41" s="24" t="s">
        <v>1915</v>
      </c>
    </row>
    <row r="42" customFormat="false" ht="15" hidden="false" customHeight="true" outlineLevel="0" collapsed="false">
      <c r="A42" s="46" t="s">
        <v>1953</v>
      </c>
      <c r="B42" s="24" t="s">
        <v>482</v>
      </c>
      <c r="C42" s="24" t="s">
        <v>567</v>
      </c>
      <c r="D42" s="24" t="n">
        <v>5</v>
      </c>
      <c r="E42" s="24" t="s">
        <v>1915</v>
      </c>
    </row>
    <row r="43" customFormat="false" ht="15" hidden="false" customHeight="true" outlineLevel="0" collapsed="false">
      <c r="A43" s="46" t="s">
        <v>1954</v>
      </c>
      <c r="B43" s="24" t="s">
        <v>482</v>
      </c>
      <c r="C43" s="24" t="s">
        <v>496</v>
      </c>
      <c r="D43" s="24" t="n">
        <v>6</v>
      </c>
      <c r="E43" s="24" t="s">
        <v>1920</v>
      </c>
    </row>
    <row r="44" customFormat="false" ht="15" hidden="false" customHeight="true" outlineLevel="0" collapsed="false">
      <c r="A44" s="46" t="s">
        <v>1955</v>
      </c>
      <c r="B44" s="24" t="s">
        <v>496</v>
      </c>
      <c r="C44" s="24" t="s">
        <v>512</v>
      </c>
      <c r="D44" s="24" t="n">
        <v>1</v>
      </c>
      <c r="E44" s="24" t="s">
        <v>1915</v>
      </c>
    </row>
    <row r="45" customFormat="false" ht="15" hidden="false" customHeight="true" outlineLevel="0" collapsed="false">
      <c r="A45" s="46" t="s">
        <v>1956</v>
      </c>
      <c r="B45" s="24" t="s">
        <v>496</v>
      </c>
      <c r="C45" s="24" t="s">
        <v>482</v>
      </c>
      <c r="D45" s="24" t="n">
        <v>2</v>
      </c>
      <c r="E45" s="24" t="s">
        <v>1920</v>
      </c>
    </row>
    <row r="46" customFormat="false" ht="15" hidden="false" customHeight="true" outlineLevel="0" collapsed="false">
      <c r="A46" s="46" t="s">
        <v>1957</v>
      </c>
      <c r="B46" s="24" t="s">
        <v>496</v>
      </c>
      <c r="C46" s="24" t="s">
        <v>436</v>
      </c>
      <c r="D46" s="24" t="n">
        <v>3</v>
      </c>
      <c r="E46" s="24" t="s">
        <v>1920</v>
      </c>
    </row>
    <row r="47" customFormat="false" ht="15" hidden="false" customHeight="true" outlineLevel="0" collapsed="false">
      <c r="A47" s="46" t="s">
        <v>1958</v>
      </c>
      <c r="B47" s="24" t="s">
        <v>496</v>
      </c>
      <c r="C47" s="24" t="s">
        <v>465</v>
      </c>
      <c r="D47" s="24" t="n">
        <v>4</v>
      </c>
      <c r="E47" s="24" t="s">
        <v>1920</v>
      </c>
    </row>
    <row r="48" customFormat="false" ht="15" hidden="false" customHeight="true" outlineLevel="0" collapsed="false">
      <c r="A48" s="46" t="s">
        <v>1959</v>
      </c>
      <c r="B48" s="24" t="s">
        <v>496</v>
      </c>
      <c r="C48" s="24" t="s">
        <v>567</v>
      </c>
      <c r="D48" s="24" t="n">
        <v>5</v>
      </c>
      <c r="E48" s="24" t="s">
        <v>1920</v>
      </c>
    </row>
    <row r="49" customFormat="false" ht="15" hidden="false" customHeight="true" outlineLevel="0" collapsed="false">
      <c r="A49" s="46" t="s">
        <v>1960</v>
      </c>
      <c r="B49" s="24" t="s">
        <v>512</v>
      </c>
      <c r="C49" s="24" t="s">
        <v>496</v>
      </c>
      <c r="D49" s="24" t="n">
        <v>1</v>
      </c>
      <c r="E49" s="24" t="s">
        <v>1915</v>
      </c>
    </row>
    <row r="50" customFormat="false" ht="15" hidden="false" customHeight="true" outlineLevel="0" collapsed="false">
      <c r="A50" s="46" t="s">
        <v>1961</v>
      </c>
      <c r="B50" s="24" t="s">
        <v>512</v>
      </c>
      <c r="C50" s="24" t="s">
        <v>482</v>
      </c>
      <c r="D50" s="24" t="n">
        <v>2</v>
      </c>
      <c r="E50" s="24" t="s">
        <v>1920</v>
      </c>
    </row>
    <row r="51" customFormat="false" ht="15" hidden="false" customHeight="true" outlineLevel="0" collapsed="false">
      <c r="A51" s="46" t="s">
        <v>1962</v>
      </c>
      <c r="B51" s="24" t="s">
        <v>512</v>
      </c>
      <c r="C51" s="24" t="s">
        <v>436</v>
      </c>
      <c r="D51" s="24" t="n">
        <v>3</v>
      </c>
      <c r="E51" s="24" t="s">
        <v>1920</v>
      </c>
    </row>
    <row r="52" customFormat="false" ht="15" hidden="false" customHeight="true" outlineLevel="0" collapsed="false">
      <c r="A52" s="46" t="s">
        <v>1963</v>
      </c>
      <c r="B52" s="24" t="s">
        <v>512</v>
      </c>
      <c r="C52" s="24" t="s">
        <v>465</v>
      </c>
      <c r="D52" s="24" t="n">
        <v>4</v>
      </c>
      <c r="E52" s="24" t="s">
        <v>1920</v>
      </c>
    </row>
    <row r="53" customFormat="false" ht="15" hidden="false" customHeight="true" outlineLevel="0" collapsed="false">
      <c r="A53" s="46" t="s">
        <v>1964</v>
      </c>
      <c r="B53" s="24" t="s">
        <v>512</v>
      </c>
      <c r="C53" s="24" t="s">
        <v>567</v>
      </c>
      <c r="D53" s="24" t="n">
        <v>5</v>
      </c>
      <c r="E53" s="24" t="s">
        <v>1920</v>
      </c>
    </row>
    <row r="54" customFormat="false" ht="15" hidden="false" customHeight="true" outlineLevel="0" collapsed="false">
      <c r="A54" s="46" t="s">
        <v>1965</v>
      </c>
      <c r="B54" s="24" t="s">
        <v>523</v>
      </c>
      <c r="C54" s="24" t="s">
        <v>580</v>
      </c>
      <c r="D54" s="24" t="n">
        <v>1</v>
      </c>
      <c r="E54" s="24" t="s">
        <v>1915</v>
      </c>
    </row>
    <row r="55" customFormat="false" ht="15" hidden="false" customHeight="true" outlineLevel="0" collapsed="false">
      <c r="A55" s="46" t="s">
        <v>1966</v>
      </c>
      <c r="B55" s="24" t="s">
        <v>523</v>
      </c>
      <c r="C55" s="24" t="s">
        <v>436</v>
      </c>
      <c r="D55" s="24" t="n">
        <v>2</v>
      </c>
      <c r="E55" s="24" t="s">
        <v>1915</v>
      </c>
    </row>
    <row r="56" customFormat="false" ht="15" hidden="false" customHeight="true" outlineLevel="0" collapsed="false">
      <c r="A56" s="46" t="s">
        <v>1967</v>
      </c>
      <c r="B56" s="24" t="s">
        <v>523</v>
      </c>
      <c r="C56" s="24" t="s">
        <v>482</v>
      </c>
      <c r="D56" s="24" t="n">
        <v>3</v>
      </c>
      <c r="E56" s="24" t="s">
        <v>1915</v>
      </c>
    </row>
    <row r="57" customFormat="false" ht="15" hidden="false" customHeight="true" outlineLevel="0" collapsed="false">
      <c r="A57" s="46" t="s">
        <v>1968</v>
      </c>
      <c r="B57" s="24" t="s">
        <v>523</v>
      </c>
      <c r="C57" s="24" t="s">
        <v>554</v>
      </c>
      <c r="D57" s="24" t="n">
        <v>4</v>
      </c>
      <c r="E57" s="24" t="s">
        <v>1915</v>
      </c>
    </row>
    <row r="58" customFormat="false" ht="15" hidden="false" customHeight="true" outlineLevel="0" collapsed="false">
      <c r="A58" s="46" t="s">
        <v>1969</v>
      </c>
      <c r="B58" s="24" t="s">
        <v>523</v>
      </c>
      <c r="C58" s="24" t="s">
        <v>465</v>
      </c>
      <c r="D58" s="24" t="n">
        <v>5</v>
      </c>
      <c r="E58" s="24" t="s">
        <v>1915</v>
      </c>
    </row>
    <row r="59" customFormat="false" ht="15" hidden="false" customHeight="true" outlineLevel="0" collapsed="false">
      <c r="A59" s="46" t="s">
        <v>1970</v>
      </c>
      <c r="B59" s="24" t="s">
        <v>523</v>
      </c>
      <c r="C59" s="24" t="s">
        <v>1340</v>
      </c>
      <c r="D59" s="24" t="n">
        <v>6</v>
      </c>
      <c r="E59" s="24" t="s">
        <v>1920</v>
      </c>
    </row>
    <row r="60" customFormat="false" ht="15" hidden="false" customHeight="true" outlineLevel="0" collapsed="false">
      <c r="A60" s="46" t="s">
        <v>1971</v>
      </c>
      <c r="B60" s="24" t="s">
        <v>523</v>
      </c>
      <c r="C60" s="24" t="s">
        <v>567</v>
      </c>
      <c r="D60" s="24" t="n">
        <v>7</v>
      </c>
      <c r="E60" s="24" t="s">
        <v>1915</v>
      </c>
    </row>
    <row r="61" customFormat="false" ht="15" hidden="false" customHeight="true" outlineLevel="0" collapsed="false">
      <c r="A61" s="46" t="s">
        <v>1972</v>
      </c>
      <c r="B61" s="24" t="s">
        <v>540</v>
      </c>
      <c r="C61" s="24" t="s">
        <v>451</v>
      </c>
      <c r="D61" s="24" t="n">
        <v>1</v>
      </c>
      <c r="E61" s="24" t="s">
        <v>1915</v>
      </c>
    </row>
    <row r="62" customFormat="false" ht="15" hidden="false" customHeight="true" outlineLevel="0" collapsed="false">
      <c r="A62" s="46" t="s">
        <v>1973</v>
      </c>
      <c r="B62" s="24" t="s">
        <v>540</v>
      </c>
      <c r="C62" s="24" t="s">
        <v>409</v>
      </c>
      <c r="D62" s="24" t="n">
        <v>2</v>
      </c>
      <c r="E62" s="24" t="s">
        <v>1915</v>
      </c>
    </row>
    <row r="63" customFormat="false" ht="15" hidden="false" customHeight="true" outlineLevel="0" collapsed="false">
      <c r="A63" s="46" t="s">
        <v>1974</v>
      </c>
      <c r="B63" s="24" t="s">
        <v>540</v>
      </c>
      <c r="C63" s="24" t="s">
        <v>436</v>
      </c>
      <c r="D63" s="24" t="n">
        <v>3</v>
      </c>
      <c r="E63" s="24" t="s">
        <v>1915</v>
      </c>
    </row>
    <row r="64" customFormat="false" ht="15" hidden="false" customHeight="true" outlineLevel="0" collapsed="false">
      <c r="A64" s="46" t="s">
        <v>1975</v>
      </c>
      <c r="B64" s="24" t="s">
        <v>540</v>
      </c>
      <c r="C64" s="24" t="s">
        <v>482</v>
      </c>
      <c r="D64" s="24" t="n">
        <v>4</v>
      </c>
      <c r="E64" s="24" t="s">
        <v>1915</v>
      </c>
    </row>
    <row r="65" customFormat="false" ht="15" hidden="false" customHeight="true" outlineLevel="0" collapsed="false">
      <c r="A65" s="46" t="s">
        <v>1976</v>
      </c>
      <c r="B65" s="24" t="s">
        <v>540</v>
      </c>
      <c r="C65" s="24" t="s">
        <v>465</v>
      </c>
      <c r="D65" s="24" t="n">
        <v>5</v>
      </c>
      <c r="E65" s="24" t="s">
        <v>1915</v>
      </c>
    </row>
    <row r="66" customFormat="false" ht="15" hidden="false" customHeight="true" outlineLevel="0" collapsed="false">
      <c r="A66" s="46" t="s">
        <v>1977</v>
      </c>
      <c r="B66" s="24" t="s">
        <v>540</v>
      </c>
      <c r="C66" s="24" t="s">
        <v>567</v>
      </c>
      <c r="D66" s="24" t="n">
        <v>6</v>
      </c>
      <c r="E66" s="24" t="s">
        <v>1915</v>
      </c>
    </row>
    <row r="67" customFormat="false" ht="15" hidden="false" customHeight="true" outlineLevel="0" collapsed="false">
      <c r="A67" s="46" t="s">
        <v>1978</v>
      </c>
      <c r="B67" s="24" t="s">
        <v>554</v>
      </c>
      <c r="C67" s="24" t="s">
        <v>409</v>
      </c>
      <c r="D67" s="24" t="n">
        <v>1</v>
      </c>
      <c r="E67" s="24" t="s">
        <v>1915</v>
      </c>
    </row>
    <row r="68" customFormat="false" ht="15" hidden="false" customHeight="true" outlineLevel="0" collapsed="false">
      <c r="A68" s="46" t="s">
        <v>1979</v>
      </c>
      <c r="B68" s="24" t="s">
        <v>554</v>
      </c>
      <c r="C68" s="24" t="s">
        <v>436</v>
      </c>
      <c r="D68" s="24" t="n">
        <v>2</v>
      </c>
      <c r="E68" s="24" t="s">
        <v>1915</v>
      </c>
    </row>
    <row r="69" customFormat="false" ht="15" hidden="false" customHeight="true" outlineLevel="0" collapsed="false">
      <c r="A69" s="46" t="s">
        <v>1980</v>
      </c>
      <c r="B69" s="24" t="s">
        <v>554</v>
      </c>
      <c r="C69" s="24" t="s">
        <v>523</v>
      </c>
      <c r="D69" s="24" t="n">
        <v>3</v>
      </c>
      <c r="E69" s="24" t="s">
        <v>1915</v>
      </c>
    </row>
    <row r="70" customFormat="false" ht="15" hidden="false" customHeight="true" outlineLevel="0" collapsed="false">
      <c r="A70" s="46" t="s">
        <v>1981</v>
      </c>
      <c r="B70" s="24" t="s">
        <v>554</v>
      </c>
      <c r="C70" s="24" t="s">
        <v>482</v>
      </c>
      <c r="D70" s="24" t="n">
        <v>4</v>
      </c>
      <c r="E70" s="24" t="s">
        <v>1915</v>
      </c>
    </row>
    <row r="71" customFormat="false" ht="15" hidden="false" customHeight="true" outlineLevel="0" collapsed="false">
      <c r="A71" s="46" t="s">
        <v>1982</v>
      </c>
      <c r="B71" s="24" t="s">
        <v>554</v>
      </c>
      <c r="C71" s="24" t="s">
        <v>580</v>
      </c>
      <c r="D71" s="24" t="n">
        <v>5</v>
      </c>
      <c r="E71" s="24" t="s">
        <v>1915</v>
      </c>
    </row>
    <row r="72" customFormat="false" ht="15" hidden="false" customHeight="true" outlineLevel="0" collapsed="false">
      <c r="A72" s="46" t="s">
        <v>1983</v>
      </c>
      <c r="B72" s="24" t="s">
        <v>554</v>
      </c>
      <c r="C72" s="24" t="s">
        <v>465</v>
      </c>
      <c r="D72" s="24" t="n">
        <v>6</v>
      </c>
      <c r="E72" s="24" t="s">
        <v>1915</v>
      </c>
    </row>
    <row r="73" customFormat="false" ht="15" hidden="false" customHeight="true" outlineLevel="0" collapsed="false">
      <c r="A73" s="46" t="s">
        <v>1984</v>
      </c>
      <c r="B73" s="24" t="s">
        <v>567</v>
      </c>
      <c r="C73" s="24" t="s">
        <v>465</v>
      </c>
      <c r="D73" s="24" t="n">
        <v>1</v>
      </c>
      <c r="E73" s="24" t="s">
        <v>1915</v>
      </c>
    </row>
    <row r="74" customFormat="false" ht="15" hidden="false" customHeight="true" outlineLevel="0" collapsed="false">
      <c r="A74" s="46" t="s">
        <v>1985</v>
      </c>
      <c r="B74" s="24" t="s">
        <v>567</v>
      </c>
      <c r="C74" s="24" t="s">
        <v>482</v>
      </c>
      <c r="D74" s="24" t="n">
        <v>2</v>
      </c>
      <c r="E74" s="24" t="s">
        <v>1915</v>
      </c>
    </row>
    <row r="75" customFormat="false" ht="15" hidden="false" customHeight="true" outlineLevel="0" collapsed="false">
      <c r="A75" s="46" t="s">
        <v>1986</v>
      </c>
      <c r="B75" s="24" t="s">
        <v>567</v>
      </c>
      <c r="C75" s="24" t="s">
        <v>436</v>
      </c>
      <c r="D75" s="24" t="n">
        <v>3</v>
      </c>
      <c r="E75" s="24" t="s">
        <v>1915</v>
      </c>
    </row>
    <row r="76" customFormat="false" ht="15" hidden="false" customHeight="true" outlineLevel="0" collapsed="false">
      <c r="A76" s="46" t="s">
        <v>1987</v>
      </c>
      <c r="B76" s="24" t="s">
        <v>567</v>
      </c>
      <c r="C76" s="24" t="s">
        <v>580</v>
      </c>
      <c r="D76" s="24" t="n">
        <v>4</v>
      </c>
      <c r="E76" s="24" t="s">
        <v>1915</v>
      </c>
    </row>
    <row r="77" customFormat="false" ht="15" hidden="false" customHeight="true" outlineLevel="0" collapsed="false">
      <c r="A77" s="46" t="s">
        <v>1988</v>
      </c>
      <c r="B77" s="24" t="s">
        <v>567</v>
      </c>
      <c r="C77" s="24" t="s">
        <v>512</v>
      </c>
      <c r="D77" s="24" t="n">
        <v>5</v>
      </c>
      <c r="E77" s="24" t="s">
        <v>1920</v>
      </c>
    </row>
    <row r="78" customFormat="false" ht="15" hidden="false" customHeight="true" outlineLevel="0" collapsed="false">
      <c r="A78" s="46" t="s">
        <v>1989</v>
      </c>
      <c r="B78" s="24" t="s">
        <v>580</v>
      </c>
      <c r="C78" s="24" t="s">
        <v>465</v>
      </c>
      <c r="D78" s="24" t="n">
        <v>1</v>
      </c>
      <c r="E78" s="24" t="s">
        <v>1915</v>
      </c>
    </row>
    <row r="79" customFormat="false" ht="15" hidden="false" customHeight="true" outlineLevel="0" collapsed="false">
      <c r="A79" s="46" t="s">
        <v>1990</v>
      </c>
      <c r="B79" s="24" t="s">
        <v>580</v>
      </c>
      <c r="C79" s="24" t="s">
        <v>567</v>
      </c>
      <c r="D79" s="24" t="n">
        <v>2</v>
      </c>
      <c r="E79" s="24" t="s">
        <v>1915</v>
      </c>
    </row>
    <row r="80" customFormat="false" ht="15" hidden="false" customHeight="true" outlineLevel="0" collapsed="false">
      <c r="A80" s="46" t="s">
        <v>1991</v>
      </c>
      <c r="B80" s="24" t="s">
        <v>580</v>
      </c>
      <c r="C80" s="24" t="s">
        <v>523</v>
      </c>
      <c r="D80" s="24" t="n">
        <v>3</v>
      </c>
      <c r="E80" s="24" t="s">
        <v>1915</v>
      </c>
    </row>
    <row r="81" customFormat="false" ht="15" hidden="false" customHeight="true" outlineLevel="0" collapsed="false">
      <c r="A81" s="46" t="s">
        <v>1992</v>
      </c>
      <c r="B81" s="24" t="s">
        <v>580</v>
      </c>
      <c r="C81" s="24" t="s">
        <v>436</v>
      </c>
      <c r="D81" s="24" t="n">
        <v>4</v>
      </c>
      <c r="E81" s="24" t="s">
        <v>1915</v>
      </c>
    </row>
    <row r="82" customFormat="false" ht="15" hidden="false" customHeight="true" outlineLevel="0" collapsed="false">
      <c r="A82" s="46" t="s">
        <v>1993</v>
      </c>
      <c r="B82" s="24" t="s">
        <v>580</v>
      </c>
      <c r="C82" s="24" t="s">
        <v>482</v>
      </c>
      <c r="D82" s="24" t="n">
        <v>5</v>
      </c>
      <c r="E82" s="24" t="s">
        <v>1915</v>
      </c>
    </row>
    <row r="83" customFormat="false" ht="15" hidden="false" customHeight="true" outlineLevel="0" collapsed="false">
      <c r="A83" s="46" t="s">
        <v>1994</v>
      </c>
      <c r="B83" s="24" t="s">
        <v>592</v>
      </c>
      <c r="C83" s="24" t="s">
        <v>1723</v>
      </c>
      <c r="D83" s="24" t="n">
        <v>1</v>
      </c>
      <c r="E83" s="24" t="s">
        <v>1915</v>
      </c>
    </row>
    <row r="84" customFormat="false" ht="15" hidden="false" customHeight="true" outlineLevel="0" collapsed="false">
      <c r="A84" s="46" t="s">
        <v>1995</v>
      </c>
      <c r="B84" s="24" t="s">
        <v>592</v>
      </c>
      <c r="C84" s="24" t="s">
        <v>722</v>
      </c>
      <c r="D84" s="24" t="n">
        <v>2</v>
      </c>
      <c r="E84" s="24" t="s">
        <v>1915</v>
      </c>
    </row>
    <row r="85" customFormat="false" ht="15" hidden="false" customHeight="true" outlineLevel="0" collapsed="false">
      <c r="A85" s="46" t="s">
        <v>1996</v>
      </c>
      <c r="B85" s="24" t="s">
        <v>592</v>
      </c>
      <c r="C85" s="24" t="s">
        <v>1737</v>
      </c>
      <c r="D85" s="24" t="n">
        <v>3</v>
      </c>
      <c r="E85" s="24" t="s">
        <v>1915</v>
      </c>
    </row>
    <row r="86" customFormat="false" ht="15" hidden="false" customHeight="true" outlineLevel="0" collapsed="false">
      <c r="A86" s="46" t="s">
        <v>1997</v>
      </c>
      <c r="B86" s="24" t="s">
        <v>592</v>
      </c>
      <c r="C86" s="24" t="s">
        <v>1047</v>
      </c>
      <c r="D86" s="24" t="n">
        <v>4</v>
      </c>
      <c r="E86" s="24" t="s">
        <v>1920</v>
      </c>
    </row>
    <row r="87" customFormat="false" ht="15" hidden="false" customHeight="true" outlineLevel="0" collapsed="false">
      <c r="A87" s="46" t="s">
        <v>1998</v>
      </c>
      <c r="B87" s="24" t="s">
        <v>592</v>
      </c>
      <c r="C87" s="24" t="s">
        <v>1140</v>
      </c>
      <c r="D87" s="24" t="n">
        <v>5</v>
      </c>
      <c r="E87" s="24" t="s">
        <v>1920</v>
      </c>
    </row>
    <row r="88" customFormat="false" ht="15" hidden="false" customHeight="true" outlineLevel="0" collapsed="false">
      <c r="A88" s="46" t="s">
        <v>1999</v>
      </c>
      <c r="B88" s="24" t="s">
        <v>592</v>
      </c>
      <c r="C88" s="24" t="s">
        <v>1063</v>
      </c>
      <c r="D88" s="24" t="n">
        <v>6</v>
      </c>
      <c r="E88" s="24" t="s">
        <v>1920</v>
      </c>
    </row>
    <row r="89" customFormat="false" ht="15" hidden="false" customHeight="true" outlineLevel="0" collapsed="false">
      <c r="A89" s="46" t="s">
        <v>2000</v>
      </c>
      <c r="B89" s="24" t="s">
        <v>592</v>
      </c>
      <c r="C89" s="24" t="s">
        <v>1152</v>
      </c>
      <c r="D89" s="24" t="n">
        <v>7</v>
      </c>
      <c r="E89" s="24" t="s">
        <v>1920</v>
      </c>
    </row>
    <row r="90" customFormat="false" ht="15" hidden="false" customHeight="true" outlineLevel="0" collapsed="false">
      <c r="A90" s="46" t="s">
        <v>2001</v>
      </c>
      <c r="B90" s="24" t="s">
        <v>592</v>
      </c>
      <c r="C90" s="24" t="s">
        <v>1127</v>
      </c>
      <c r="D90" s="24" t="n">
        <v>8</v>
      </c>
      <c r="E90" s="24" t="s">
        <v>1920</v>
      </c>
    </row>
    <row r="91" customFormat="false" ht="15" hidden="false" customHeight="true" outlineLevel="0" collapsed="false">
      <c r="A91" s="46" t="s">
        <v>2002</v>
      </c>
      <c r="B91" s="24" t="s">
        <v>592</v>
      </c>
      <c r="C91" s="24" t="s">
        <v>1193</v>
      </c>
      <c r="D91" s="24" t="n">
        <v>9</v>
      </c>
      <c r="E91" s="24" t="s">
        <v>1920</v>
      </c>
    </row>
    <row r="92" customFormat="false" ht="15" hidden="false" customHeight="true" outlineLevel="0" collapsed="false">
      <c r="A92" s="46" t="s">
        <v>2003</v>
      </c>
      <c r="B92" s="24" t="s">
        <v>610</v>
      </c>
      <c r="C92" s="24" t="s">
        <v>698</v>
      </c>
      <c r="D92" s="24" t="n">
        <v>1</v>
      </c>
      <c r="E92" s="24" t="s">
        <v>1915</v>
      </c>
    </row>
    <row r="93" customFormat="false" ht="15" hidden="false" customHeight="true" outlineLevel="0" collapsed="false">
      <c r="A93" s="46" t="s">
        <v>2004</v>
      </c>
      <c r="B93" s="24" t="s">
        <v>610</v>
      </c>
      <c r="C93" s="24" t="s">
        <v>627</v>
      </c>
      <c r="D93" s="24" t="n">
        <v>2</v>
      </c>
      <c r="E93" s="24" t="s">
        <v>1915</v>
      </c>
    </row>
    <row r="94" customFormat="false" ht="15" hidden="false" customHeight="true" outlineLevel="0" collapsed="false">
      <c r="A94" s="46" t="s">
        <v>2005</v>
      </c>
      <c r="B94" s="24" t="s">
        <v>610</v>
      </c>
      <c r="C94" s="24" t="s">
        <v>671</v>
      </c>
      <c r="D94" s="24" t="n">
        <v>3</v>
      </c>
      <c r="E94" s="24" t="s">
        <v>1915</v>
      </c>
    </row>
    <row r="95" customFormat="false" ht="15" hidden="false" customHeight="true" outlineLevel="0" collapsed="false">
      <c r="A95" s="46" t="s">
        <v>2006</v>
      </c>
      <c r="B95" s="24" t="s">
        <v>610</v>
      </c>
      <c r="C95" s="24" t="s">
        <v>684</v>
      </c>
      <c r="D95" s="24" t="n">
        <v>4</v>
      </c>
      <c r="E95" s="24" t="s">
        <v>1915</v>
      </c>
    </row>
    <row r="96" customFormat="false" ht="15" hidden="false" customHeight="true" outlineLevel="0" collapsed="false">
      <c r="A96" s="46" t="s">
        <v>2007</v>
      </c>
      <c r="B96" s="24" t="s">
        <v>610</v>
      </c>
      <c r="C96" s="24" t="s">
        <v>1748</v>
      </c>
      <c r="D96" s="24" t="n">
        <v>5</v>
      </c>
      <c r="E96" s="24" t="s">
        <v>1915</v>
      </c>
    </row>
    <row r="97" customFormat="false" ht="15" hidden="false" customHeight="true" outlineLevel="0" collapsed="false">
      <c r="A97" s="46" t="s">
        <v>2008</v>
      </c>
      <c r="B97" s="24" t="s">
        <v>610</v>
      </c>
      <c r="C97" s="24" t="s">
        <v>657</v>
      </c>
      <c r="D97" s="24" t="n">
        <v>6</v>
      </c>
      <c r="E97" s="24" t="s">
        <v>1920</v>
      </c>
    </row>
    <row r="98" customFormat="false" ht="15" hidden="false" customHeight="true" outlineLevel="0" collapsed="false">
      <c r="A98" s="46" t="s">
        <v>2009</v>
      </c>
      <c r="B98" s="24" t="s">
        <v>627</v>
      </c>
      <c r="C98" s="24" t="s">
        <v>698</v>
      </c>
      <c r="D98" s="24" t="n">
        <v>1</v>
      </c>
      <c r="E98" s="24" t="s">
        <v>1915</v>
      </c>
    </row>
    <row r="99" customFormat="false" ht="15" hidden="false" customHeight="true" outlineLevel="0" collapsed="false">
      <c r="A99" s="46" t="s">
        <v>2010</v>
      </c>
      <c r="B99" s="24" t="s">
        <v>627</v>
      </c>
      <c r="C99" s="24" t="s">
        <v>671</v>
      </c>
      <c r="D99" s="24" t="n">
        <v>2</v>
      </c>
      <c r="E99" s="24" t="s">
        <v>1915</v>
      </c>
    </row>
    <row r="100" customFormat="false" ht="15" hidden="false" customHeight="true" outlineLevel="0" collapsed="false">
      <c r="A100" s="46" t="s">
        <v>2011</v>
      </c>
      <c r="B100" s="24" t="s">
        <v>627</v>
      </c>
      <c r="C100" s="24" t="s">
        <v>610</v>
      </c>
      <c r="D100" s="24" t="n">
        <v>3</v>
      </c>
      <c r="E100" s="24" t="s">
        <v>1915</v>
      </c>
    </row>
    <row r="101" customFormat="false" ht="15" hidden="false" customHeight="true" outlineLevel="0" collapsed="false">
      <c r="A101" s="46" t="s">
        <v>2012</v>
      </c>
      <c r="B101" s="24" t="s">
        <v>627</v>
      </c>
      <c r="C101" s="24" t="s">
        <v>684</v>
      </c>
      <c r="D101" s="24" t="n">
        <v>4</v>
      </c>
      <c r="E101" s="24" t="s">
        <v>1915</v>
      </c>
    </row>
    <row r="102" customFormat="false" ht="15" hidden="false" customHeight="true" outlineLevel="0" collapsed="false">
      <c r="A102" s="46" t="s">
        <v>2013</v>
      </c>
      <c r="B102" s="24" t="s">
        <v>627</v>
      </c>
      <c r="C102" s="24" t="s">
        <v>1748</v>
      </c>
      <c r="D102" s="24" t="n">
        <v>5</v>
      </c>
      <c r="E102" s="24" t="s">
        <v>1915</v>
      </c>
    </row>
    <row r="103" customFormat="false" ht="15" hidden="false" customHeight="true" outlineLevel="0" collapsed="false">
      <c r="A103" s="46" t="s">
        <v>2014</v>
      </c>
      <c r="B103" s="24" t="s">
        <v>640</v>
      </c>
      <c r="C103" s="24" t="s">
        <v>657</v>
      </c>
      <c r="D103" s="24" t="n">
        <v>1</v>
      </c>
      <c r="E103" s="24" t="s">
        <v>1915</v>
      </c>
    </row>
    <row r="104" customFormat="false" ht="15" hidden="false" customHeight="true" outlineLevel="0" collapsed="false">
      <c r="A104" s="46" t="s">
        <v>2015</v>
      </c>
      <c r="B104" s="24" t="s">
        <v>640</v>
      </c>
      <c r="C104" s="24" t="s">
        <v>1760</v>
      </c>
      <c r="D104" s="24" t="n">
        <v>2</v>
      </c>
      <c r="E104" s="24" t="s">
        <v>1915</v>
      </c>
    </row>
    <row r="105" customFormat="false" ht="15" hidden="false" customHeight="true" outlineLevel="0" collapsed="false">
      <c r="A105" s="46" t="s">
        <v>2016</v>
      </c>
      <c r="B105" s="24" t="s">
        <v>640</v>
      </c>
      <c r="C105" s="24" t="s">
        <v>736</v>
      </c>
      <c r="D105" s="24" t="n">
        <v>3</v>
      </c>
      <c r="E105" s="24" t="s">
        <v>1915</v>
      </c>
    </row>
    <row r="106" customFormat="false" ht="15" hidden="false" customHeight="true" outlineLevel="0" collapsed="false">
      <c r="A106" s="46" t="s">
        <v>2017</v>
      </c>
      <c r="B106" s="24" t="s">
        <v>640</v>
      </c>
      <c r="C106" s="24" t="s">
        <v>684</v>
      </c>
      <c r="D106" s="24" t="n">
        <v>4</v>
      </c>
      <c r="E106" s="24" t="s">
        <v>1920</v>
      </c>
    </row>
    <row r="107" customFormat="false" ht="15" hidden="false" customHeight="true" outlineLevel="0" collapsed="false">
      <c r="A107" s="46" t="s">
        <v>2018</v>
      </c>
      <c r="B107" s="24" t="s">
        <v>640</v>
      </c>
      <c r="C107" s="24" t="s">
        <v>671</v>
      </c>
      <c r="D107" s="24" t="n">
        <v>5</v>
      </c>
      <c r="E107" s="24" t="s">
        <v>1920</v>
      </c>
    </row>
    <row r="108" customFormat="false" ht="15" hidden="false" customHeight="true" outlineLevel="0" collapsed="false">
      <c r="A108" s="46" t="s">
        <v>2019</v>
      </c>
      <c r="B108" s="24" t="s">
        <v>640</v>
      </c>
      <c r="C108" s="24" t="s">
        <v>698</v>
      </c>
      <c r="D108" s="24" t="n">
        <v>6</v>
      </c>
      <c r="E108" s="24" t="s">
        <v>1920</v>
      </c>
    </row>
    <row r="109" customFormat="false" ht="15" hidden="false" customHeight="true" outlineLevel="0" collapsed="false">
      <c r="A109" s="46" t="s">
        <v>2020</v>
      </c>
      <c r="B109" s="24" t="s">
        <v>657</v>
      </c>
      <c r="C109" s="24" t="s">
        <v>640</v>
      </c>
      <c r="D109" s="24" t="n">
        <v>1</v>
      </c>
      <c r="E109" s="24" t="s">
        <v>1915</v>
      </c>
    </row>
    <row r="110" customFormat="false" ht="15" hidden="false" customHeight="true" outlineLevel="0" collapsed="false">
      <c r="A110" s="46" t="s">
        <v>2021</v>
      </c>
      <c r="B110" s="24" t="s">
        <v>657</v>
      </c>
      <c r="C110" s="24" t="s">
        <v>1760</v>
      </c>
      <c r="D110" s="24" t="n">
        <v>2</v>
      </c>
      <c r="E110" s="24" t="s">
        <v>1915</v>
      </c>
    </row>
    <row r="111" customFormat="false" ht="15" hidden="false" customHeight="true" outlineLevel="0" collapsed="false">
      <c r="A111" s="46" t="s">
        <v>2022</v>
      </c>
      <c r="B111" s="24" t="s">
        <v>657</v>
      </c>
      <c r="C111" s="24" t="s">
        <v>736</v>
      </c>
      <c r="D111" s="24" t="n">
        <v>3</v>
      </c>
      <c r="E111" s="24" t="s">
        <v>1915</v>
      </c>
    </row>
    <row r="112" customFormat="false" ht="15" hidden="false" customHeight="true" outlineLevel="0" collapsed="false">
      <c r="A112" s="46" t="s">
        <v>2023</v>
      </c>
      <c r="B112" s="24" t="s">
        <v>657</v>
      </c>
      <c r="C112" s="24" t="s">
        <v>710</v>
      </c>
      <c r="D112" s="24" t="n">
        <v>4</v>
      </c>
      <c r="E112" s="24" t="s">
        <v>1915</v>
      </c>
    </row>
    <row r="113" customFormat="false" ht="15" hidden="false" customHeight="true" outlineLevel="0" collapsed="false">
      <c r="A113" s="46" t="s">
        <v>2024</v>
      </c>
      <c r="B113" s="24" t="s">
        <v>657</v>
      </c>
      <c r="C113" s="24" t="s">
        <v>671</v>
      </c>
      <c r="D113" s="24" t="n">
        <v>5</v>
      </c>
      <c r="E113" s="24" t="s">
        <v>1920</v>
      </c>
    </row>
    <row r="114" customFormat="false" ht="15" hidden="false" customHeight="true" outlineLevel="0" collapsed="false">
      <c r="A114" s="46" t="s">
        <v>2025</v>
      </c>
      <c r="B114" s="24" t="s">
        <v>657</v>
      </c>
      <c r="C114" s="24" t="s">
        <v>698</v>
      </c>
      <c r="D114" s="24" t="n">
        <v>6</v>
      </c>
      <c r="E114" s="24" t="s">
        <v>1920</v>
      </c>
    </row>
    <row r="115" customFormat="false" ht="15" hidden="false" customHeight="true" outlineLevel="0" collapsed="false">
      <c r="A115" s="46" t="s">
        <v>2026</v>
      </c>
      <c r="B115" s="24" t="s">
        <v>671</v>
      </c>
      <c r="C115" s="24" t="s">
        <v>698</v>
      </c>
      <c r="D115" s="24" t="n">
        <v>1</v>
      </c>
      <c r="E115" s="24" t="s">
        <v>1915</v>
      </c>
    </row>
    <row r="116" customFormat="false" ht="15" hidden="false" customHeight="true" outlineLevel="0" collapsed="false">
      <c r="A116" s="46" t="s">
        <v>2027</v>
      </c>
      <c r="B116" s="24" t="s">
        <v>671</v>
      </c>
      <c r="C116" s="24" t="s">
        <v>627</v>
      </c>
      <c r="D116" s="24" t="n">
        <v>2</v>
      </c>
      <c r="E116" s="24" t="s">
        <v>1915</v>
      </c>
    </row>
    <row r="117" customFormat="false" ht="15" hidden="false" customHeight="true" outlineLevel="0" collapsed="false">
      <c r="A117" s="46" t="s">
        <v>2028</v>
      </c>
      <c r="B117" s="24" t="s">
        <v>671</v>
      </c>
      <c r="C117" s="24" t="s">
        <v>610</v>
      </c>
      <c r="D117" s="24" t="n">
        <v>3</v>
      </c>
      <c r="E117" s="24" t="s">
        <v>1915</v>
      </c>
    </row>
    <row r="118" customFormat="false" ht="15" hidden="false" customHeight="true" outlineLevel="0" collapsed="false">
      <c r="A118" s="46" t="s">
        <v>2029</v>
      </c>
      <c r="B118" s="24" t="s">
        <v>671</v>
      </c>
      <c r="C118" s="24" t="s">
        <v>684</v>
      </c>
      <c r="D118" s="24" t="n">
        <v>4</v>
      </c>
      <c r="E118" s="24" t="s">
        <v>1915</v>
      </c>
    </row>
    <row r="119" customFormat="false" ht="15" hidden="false" customHeight="true" outlineLevel="0" collapsed="false">
      <c r="A119" s="46" t="s">
        <v>2030</v>
      </c>
      <c r="B119" s="24" t="s">
        <v>671</v>
      </c>
      <c r="C119" s="24" t="s">
        <v>1748</v>
      </c>
      <c r="D119" s="24" t="n">
        <v>5</v>
      </c>
      <c r="E119" s="24" t="s">
        <v>1915</v>
      </c>
    </row>
    <row r="120" customFormat="false" ht="15" hidden="false" customHeight="true" outlineLevel="0" collapsed="false">
      <c r="A120" s="46" t="s">
        <v>2031</v>
      </c>
      <c r="B120" s="24" t="s">
        <v>684</v>
      </c>
      <c r="C120" s="24" t="s">
        <v>1748</v>
      </c>
      <c r="D120" s="24" t="n">
        <v>1</v>
      </c>
      <c r="E120" s="24" t="s">
        <v>1915</v>
      </c>
    </row>
    <row r="121" customFormat="false" ht="15" hidden="false" customHeight="true" outlineLevel="0" collapsed="false">
      <c r="A121" s="46" t="s">
        <v>2032</v>
      </c>
      <c r="B121" s="24" t="s">
        <v>684</v>
      </c>
      <c r="C121" s="24" t="s">
        <v>698</v>
      </c>
      <c r="D121" s="24" t="n">
        <v>2</v>
      </c>
      <c r="E121" s="24" t="s">
        <v>1915</v>
      </c>
    </row>
    <row r="122" customFormat="false" ht="15" hidden="false" customHeight="true" outlineLevel="0" collapsed="false">
      <c r="A122" s="46" t="s">
        <v>2033</v>
      </c>
      <c r="B122" s="24" t="s">
        <v>684</v>
      </c>
      <c r="C122" s="24" t="s">
        <v>627</v>
      </c>
      <c r="D122" s="24" t="n">
        <v>3</v>
      </c>
      <c r="E122" s="24" t="s">
        <v>1915</v>
      </c>
    </row>
    <row r="123" customFormat="false" ht="15" hidden="false" customHeight="true" outlineLevel="0" collapsed="false">
      <c r="A123" s="46" t="s">
        <v>2034</v>
      </c>
      <c r="B123" s="24" t="s">
        <v>684</v>
      </c>
      <c r="C123" s="24" t="s">
        <v>671</v>
      </c>
      <c r="D123" s="24" t="n">
        <v>4</v>
      </c>
      <c r="E123" s="24" t="s">
        <v>1915</v>
      </c>
    </row>
    <row r="124" customFormat="false" ht="15" hidden="false" customHeight="true" outlineLevel="0" collapsed="false">
      <c r="A124" s="46" t="s">
        <v>2035</v>
      </c>
      <c r="B124" s="24" t="s">
        <v>684</v>
      </c>
      <c r="C124" s="24" t="s">
        <v>1278</v>
      </c>
      <c r="D124" s="24" t="n">
        <v>5</v>
      </c>
      <c r="E124" s="24" t="s">
        <v>1920</v>
      </c>
    </row>
    <row r="125" customFormat="false" ht="15" hidden="false" customHeight="true" outlineLevel="0" collapsed="false">
      <c r="A125" s="46" t="s">
        <v>2036</v>
      </c>
      <c r="B125" s="24" t="s">
        <v>698</v>
      </c>
      <c r="C125" s="24" t="s">
        <v>627</v>
      </c>
      <c r="D125" s="24" t="n">
        <v>1</v>
      </c>
      <c r="E125" s="24" t="s">
        <v>1915</v>
      </c>
    </row>
    <row r="126" customFormat="false" ht="15" hidden="false" customHeight="true" outlineLevel="0" collapsed="false">
      <c r="A126" s="46" t="s">
        <v>2037</v>
      </c>
      <c r="B126" s="24" t="s">
        <v>698</v>
      </c>
      <c r="C126" s="24" t="s">
        <v>671</v>
      </c>
      <c r="D126" s="24" t="n">
        <v>2</v>
      </c>
      <c r="E126" s="24" t="s">
        <v>1915</v>
      </c>
    </row>
    <row r="127" customFormat="false" ht="15" hidden="false" customHeight="true" outlineLevel="0" collapsed="false">
      <c r="A127" s="46" t="s">
        <v>2038</v>
      </c>
      <c r="B127" s="24" t="s">
        <v>698</v>
      </c>
      <c r="C127" s="24" t="s">
        <v>684</v>
      </c>
      <c r="D127" s="24" t="n">
        <v>3</v>
      </c>
      <c r="E127" s="24" t="s">
        <v>1915</v>
      </c>
    </row>
    <row r="128" customFormat="false" ht="15" hidden="false" customHeight="true" outlineLevel="0" collapsed="false">
      <c r="A128" s="46" t="s">
        <v>2039</v>
      </c>
      <c r="B128" s="24" t="s">
        <v>698</v>
      </c>
      <c r="C128" s="24" t="s">
        <v>1748</v>
      </c>
      <c r="D128" s="24" t="n">
        <v>4</v>
      </c>
      <c r="E128" s="24" t="s">
        <v>1915</v>
      </c>
    </row>
    <row r="129" customFormat="false" ht="15" hidden="false" customHeight="true" outlineLevel="0" collapsed="false">
      <c r="A129" s="46" t="s">
        <v>2040</v>
      </c>
      <c r="B129" s="24" t="s">
        <v>698</v>
      </c>
      <c r="C129" s="24" t="s">
        <v>610</v>
      </c>
      <c r="D129" s="24" t="n">
        <v>5</v>
      </c>
      <c r="E129" s="24" t="s">
        <v>1915</v>
      </c>
    </row>
    <row r="130" customFormat="false" ht="15" hidden="false" customHeight="true" outlineLevel="0" collapsed="false">
      <c r="A130" s="46" t="s">
        <v>2041</v>
      </c>
      <c r="B130" s="24" t="s">
        <v>710</v>
      </c>
      <c r="C130" s="24" t="s">
        <v>736</v>
      </c>
      <c r="D130" s="24" t="n">
        <v>1</v>
      </c>
      <c r="E130" s="24" t="s">
        <v>1915</v>
      </c>
    </row>
    <row r="131" customFormat="false" ht="15" hidden="false" customHeight="true" outlineLevel="0" collapsed="false">
      <c r="A131" s="46" t="s">
        <v>2042</v>
      </c>
      <c r="B131" s="24" t="s">
        <v>710</v>
      </c>
      <c r="C131" s="24" t="s">
        <v>657</v>
      </c>
      <c r="D131" s="24" t="n">
        <v>2</v>
      </c>
      <c r="E131" s="24" t="s">
        <v>1915</v>
      </c>
    </row>
    <row r="132" customFormat="false" ht="15" hidden="false" customHeight="true" outlineLevel="0" collapsed="false">
      <c r="A132" s="46" t="s">
        <v>2043</v>
      </c>
      <c r="B132" s="24" t="s">
        <v>710</v>
      </c>
      <c r="C132" s="24" t="s">
        <v>698</v>
      </c>
      <c r="D132" s="24" t="n">
        <v>3</v>
      </c>
      <c r="E132" s="24" t="s">
        <v>1920</v>
      </c>
    </row>
    <row r="133" customFormat="false" ht="15" hidden="false" customHeight="true" outlineLevel="0" collapsed="false">
      <c r="A133" s="46" t="s">
        <v>2044</v>
      </c>
      <c r="B133" s="24" t="s">
        <v>710</v>
      </c>
      <c r="C133" s="24" t="s">
        <v>671</v>
      </c>
      <c r="D133" s="24" t="n">
        <v>4</v>
      </c>
      <c r="E133" s="24" t="s">
        <v>1920</v>
      </c>
    </row>
    <row r="134" customFormat="false" ht="15" hidden="false" customHeight="true" outlineLevel="0" collapsed="false">
      <c r="A134" s="46" t="s">
        <v>2045</v>
      </c>
      <c r="B134" s="24" t="s">
        <v>722</v>
      </c>
      <c r="C134" s="24" t="s">
        <v>1723</v>
      </c>
      <c r="D134" s="24" t="n">
        <v>1</v>
      </c>
      <c r="E134" s="24" t="s">
        <v>1915</v>
      </c>
    </row>
    <row r="135" customFormat="false" ht="15" hidden="false" customHeight="true" outlineLevel="0" collapsed="false">
      <c r="A135" s="46" t="s">
        <v>2046</v>
      </c>
      <c r="B135" s="24" t="s">
        <v>722</v>
      </c>
      <c r="C135" s="24" t="s">
        <v>592</v>
      </c>
      <c r="D135" s="24" t="n">
        <v>2</v>
      </c>
      <c r="E135" s="24" t="s">
        <v>1915</v>
      </c>
    </row>
    <row r="136" customFormat="false" ht="15" hidden="false" customHeight="true" outlineLevel="0" collapsed="false">
      <c r="A136" s="46" t="s">
        <v>2047</v>
      </c>
      <c r="B136" s="24" t="s">
        <v>722</v>
      </c>
      <c r="C136" s="24" t="s">
        <v>1047</v>
      </c>
      <c r="D136" s="24" t="n">
        <v>3</v>
      </c>
      <c r="E136" s="24" t="s">
        <v>1920</v>
      </c>
    </row>
    <row r="137" customFormat="false" ht="15" hidden="false" customHeight="true" outlineLevel="0" collapsed="false">
      <c r="A137" s="46" t="s">
        <v>2048</v>
      </c>
      <c r="B137" s="24" t="s">
        <v>722</v>
      </c>
      <c r="C137" s="24" t="s">
        <v>1737</v>
      </c>
      <c r="D137" s="24" t="n">
        <v>4</v>
      </c>
      <c r="E137" s="24" t="s">
        <v>1915</v>
      </c>
    </row>
    <row r="138" customFormat="false" ht="15" hidden="false" customHeight="true" outlineLevel="0" collapsed="false">
      <c r="A138" s="46" t="s">
        <v>2049</v>
      </c>
      <c r="B138" s="24" t="s">
        <v>722</v>
      </c>
      <c r="C138" s="24" t="s">
        <v>1152</v>
      </c>
      <c r="D138" s="24" t="n">
        <v>5</v>
      </c>
      <c r="E138" s="24" t="s">
        <v>1920</v>
      </c>
    </row>
    <row r="139" customFormat="false" ht="15" hidden="false" customHeight="true" outlineLevel="0" collapsed="false">
      <c r="A139" s="46" t="s">
        <v>2050</v>
      </c>
      <c r="B139" s="24" t="s">
        <v>722</v>
      </c>
      <c r="C139" s="24" t="s">
        <v>1140</v>
      </c>
      <c r="D139" s="24" t="n">
        <v>6</v>
      </c>
      <c r="E139" s="24" t="s">
        <v>1920</v>
      </c>
    </row>
    <row r="140" customFormat="false" ht="15" hidden="false" customHeight="true" outlineLevel="0" collapsed="false">
      <c r="A140" s="46" t="s">
        <v>2051</v>
      </c>
      <c r="B140" s="24" t="s">
        <v>736</v>
      </c>
      <c r="C140" s="24" t="s">
        <v>657</v>
      </c>
      <c r="D140" s="24" t="n">
        <v>1</v>
      </c>
      <c r="E140" s="24" t="s">
        <v>1915</v>
      </c>
    </row>
    <row r="141" customFormat="false" ht="15" hidden="false" customHeight="true" outlineLevel="0" collapsed="false">
      <c r="A141" s="46" t="s">
        <v>2052</v>
      </c>
      <c r="B141" s="24" t="s">
        <v>736</v>
      </c>
      <c r="C141" s="24" t="s">
        <v>1760</v>
      </c>
      <c r="D141" s="24" t="n">
        <v>2</v>
      </c>
      <c r="E141" s="24" t="s">
        <v>1915</v>
      </c>
    </row>
    <row r="142" customFormat="false" ht="15" hidden="false" customHeight="true" outlineLevel="0" collapsed="false">
      <c r="A142" s="46" t="s">
        <v>2053</v>
      </c>
      <c r="B142" s="24" t="s">
        <v>736</v>
      </c>
      <c r="C142" s="24" t="s">
        <v>710</v>
      </c>
      <c r="D142" s="24" t="n">
        <v>3</v>
      </c>
      <c r="E142" s="24" t="s">
        <v>1915</v>
      </c>
    </row>
    <row r="143" customFormat="false" ht="15" hidden="false" customHeight="true" outlineLevel="0" collapsed="false">
      <c r="A143" s="46" t="s">
        <v>2054</v>
      </c>
      <c r="B143" s="24" t="s">
        <v>736</v>
      </c>
      <c r="C143" s="24" t="s">
        <v>684</v>
      </c>
      <c r="D143" s="24" t="n">
        <v>4</v>
      </c>
      <c r="E143" s="24" t="s">
        <v>1920</v>
      </c>
    </row>
    <row r="144" customFormat="false" ht="15" hidden="false" customHeight="true" outlineLevel="0" collapsed="false">
      <c r="A144" s="46" t="s">
        <v>2055</v>
      </c>
      <c r="B144" s="24" t="s">
        <v>736</v>
      </c>
      <c r="C144" s="24" t="s">
        <v>1748</v>
      </c>
      <c r="D144" s="24" t="n">
        <v>5</v>
      </c>
      <c r="E144" s="24" t="s">
        <v>1920</v>
      </c>
    </row>
    <row r="145" customFormat="false" ht="15" hidden="false" customHeight="true" outlineLevel="0" collapsed="false">
      <c r="A145" s="46" t="s">
        <v>2056</v>
      </c>
      <c r="B145" s="24" t="s">
        <v>749</v>
      </c>
      <c r="C145" s="24" t="s">
        <v>764</v>
      </c>
      <c r="D145" s="24" t="n">
        <v>1</v>
      </c>
      <c r="E145" s="24" t="s">
        <v>1915</v>
      </c>
    </row>
    <row r="146" customFormat="false" ht="15" hidden="false" customHeight="true" outlineLevel="0" collapsed="false">
      <c r="A146" s="46" t="s">
        <v>2057</v>
      </c>
      <c r="B146" s="24" t="s">
        <v>749</v>
      </c>
      <c r="C146" s="24" t="s">
        <v>831</v>
      </c>
      <c r="D146" s="24" t="n">
        <v>2</v>
      </c>
      <c r="E146" s="24" t="s">
        <v>1915</v>
      </c>
    </row>
    <row r="147" customFormat="false" ht="15" hidden="false" customHeight="true" outlineLevel="0" collapsed="false">
      <c r="A147" s="46" t="s">
        <v>2058</v>
      </c>
      <c r="B147" s="24" t="s">
        <v>749</v>
      </c>
      <c r="C147" s="24" t="s">
        <v>1774</v>
      </c>
      <c r="D147" s="24" t="n">
        <v>3</v>
      </c>
      <c r="E147" s="24" t="s">
        <v>1915</v>
      </c>
    </row>
    <row r="148" customFormat="false" ht="15" hidden="false" customHeight="true" outlineLevel="0" collapsed="false">
      <c r="A148" s="46" t="s">
        <v>2059</v>
      </c>
      <c r="B148" s="24" t="s">
        <v>749</v>
      </c>
      <c r="C148" s="24" t="s">
        <v>842</v>
      </c>
      <c r="D148" s="24" t="n">
        <v>4</v>
      </c>
      <c r="E148" s="24" t="s">
        <v>1915</v>
      </c>
    </row>
    <row r="149" customFormat="false" ht="15" hidden="false" customHeight="true" outlineLevel="0" collapsed="false">
      <c r="A149" s="46" t="s">
        <v>2060</v>
      </c>
      <c r="B149" s="24" t="s">
        <v>749</v>
      </c>
      <c r="C149" s="24" t="s">
        <v>775</v>
      </c>
      <c r="D149" s="24" t="n">
        <v>5</v>
      </c>
      <c r="E149" s="24" t="s">
        <v>1920</v>
      </c>
    </row>
    <row r="150" customFormat="false" ht="15" hidden="false" customHeight="true" outlineLevel="0" collapsed="false">
      <c r="A150" s="46" t="s">
        <v>2061</v>
      </c>
      <c r="B150" s="24" t="s">
        <v>764</v>
      </c>
      <c r="C150" s="24" t="s">
        <v>831</v>
      </c>
      <c r="D150" s="24" t="n">
        <v>1</v>
      </c>
      <c r="E150" s="24" t="s">
        <v>1915</v>
      </c>
    </row>
    <row r="151" customFormat="false" ht="15" hidden="false" customHeight="true" outlineLevel="0" collapsed="false">
      <c r="A151" s="46" t="s">
        <v>2062</v>
      </c>
      <c r="B151" s="24" t="s">
        <v>764</v>
      </c>
      <c r="C151" s="24" t="s">
        <v>749</v>
      </c>
      <c r="D151" s="24" t="n">
        <v>2</v>
      </c>
      <c r="E151" s="24" t="s">
        <v>1915</v>
      </c>
    </row>
    <row r="152" customFormat="false" ht="15" hidden="false" customHeight="true" outlineLevel="0" collapsed="false">
      <c r="A152" s="46" t="s">
        <v>2063</v>
      </c>
      <c r="B152" s="24" t="s">
        <v>764</v>
      </c>
      <c r="C152" s="24" t="s">
        <v>1774</v>
      </c>
      <c r="D152" s="24" t="n">
        <v>3</v>
      </c>
      <c r="E152" s="24" t="s">
        <v>1915</v>
      </c>
    </row>
    <row r="153" customFormat="false" ht="15" hidden="false" customHeight="true" outlineLevel="0" collapsed="false">
      <c r="A153" s="46" t="s">
        <v>2064</v>
      </c>
      <c r="B153" s="24" t="s">
        <v>764</v>
      </c>
      <c r="C153" s="24" t="s">
        <v>842</v>
      </c>
      <c r="D153" s="24" t="n">
        <v>4</v>
      </c>
      <c r="E153" s="24" t="s">
        <v>1915</v>
      </c>
    </row>
    <row r="154" customFormat="false" ht="15" hidden="false" customHeight="true" outlineLevel="0" collapsed="false">
      <c r="A154" s="46" t="s">
        <v>2065</v>
      </c>
      <c r="B154" s="24" t="s">
        <v>764</v>
      </c>
      <c r="C154" s="24" t="s">
        <v>775</v>
      </c>
      <c r="D154" s="24" t="n">
        <v>5</v>
      </c>
      <c r="E154" s="24" t="s">
        <v>1920</v>
      </c>
    </row>
    <row r="155" customFormat="false" ht="15" hidden="false" customHeight="true" outlineLevel="0" collapsed="false">
      <c r="A155" s="46" t="s">
        <v>2066</v>
      </c>
      <c r="B155" s="24" t="s">
        <v>775</v>
      </c>
      <c r="C155" s="24" t="s">
        <v>791</v>
      </c>
      <c r="D155" s="24" t="n">
        <v>1</v>
      </c>
      <c r="E155" s="24" t="s">
        <v>1915</v>
      </c>
    </row>
    <row r="156" customFormat="false" ht="15" hidden="false" customHeight="true" outlineLevel="0" collapsed="false">
      <c r="A156" s="46" t="s">
        <v>2067</v>
      </c>
      <c r="B156" s="24" t="s">
        <v>775</v>
      </c>
      <c r="C156" s="24" t="s">
        <v>854</v>
      </c>
      <c r="D156" s="24" t="n">
        <v>2</v>
      </c>
      <c r="E156" s="24" t="s">
        <v>1915</v>
      </c>
    </row>
    <row r="157" customFormat="false" ht="15" hidden="false" customHeight="true" outlineLevel="0" collapsed="false">
      <c r="A157" s="46" t="s">
        <v>2068</v>
      </c>
      <c r="B157" s="24" t="s">
        <v>775</v>
      </c>
      <c r="C157" s="24" t="s">
        <v>764</v>
      </c>
      <c r="D157" s="24" t="n">
        <v>3</v>
      </c>
      <c r="E157" s="24" t="s">
        <v>1920</v>
      </c>
    </row>
    <row r="158" customFormat="false" ht="15" hidden="false" customHeight="true" outlineLevel="0" collapsed="false">
      <c r="A158" s="46" t="s">
        <v>2069</v>
      </c>
      <c r="B158" s="24" t="s">
        <v>775</v>
      </c>
      <c r="C158" s="24" t="s">
        <v>1774</v>
      </c>
      <c r="D158" s="24" t="n">
        <v>4</v>
      </c>
      <c r="E158" s="24" t="s">
        <v>1920</v>
      </c>
    </row>
    <row r="159" customFormat="false" ht="15" hidden="false" customHeight="true" outlineLevel="0" collapsed="false">
      <c r="A159" s="46" t="s">
        <v>2070</v>
      </c>
      <c r="B159" s="24" t="s">
        <v>791</v>
      </c>
      <c r="C159" s="24" t="s">
        <v>775</v>
      </c>
      <c r="D159" s="24" t="n">
        <v>1</v>
      </c>
      <c r="E159" s="24" t="s">
        <v>1915</v>
      </c>
    </row>
    <row r="160" customFormat="false" ht="15" hidden="false" customHeight="true" outlineLevel="0" collapsed="false">
      <c r="A160" s="46" t="s">
        <v>2071</v>
      </c>
      <c r="B160" s="24" t="s">
        <v>791</v>
      </c>
      <c r="C160" s="24" t="s">
        <v>854</v>
      </c>
      <c r="D160" s="24" t="n">
        <v>2</v>
      </c>
      <c r="E160" s="24" t="s">
        <v>1915</v>
      </c>
    </row>
    <row r="161" customFormat="false" ht="15" hidden="false" customHeight="true" outlineLevel="0" collapsed="false">
      <c r="A161" s="46" t="s">
        <v>2072</v>
      </c>
      <c r="B161" s="24" t="s">
        <v>791</v>
      </c>
      <c r="C161" s="24" t="s">
        <v>831</v>
      </c>
      <c r="D161" s="24" t="n">
        <v>3</v>
      </c>
      <c r="E161" s="24" t="s">
        <v>1920</v>
      </c>
    </row>
    <row r="162" customFormat="false" ht="15" hidden="false" customHeight="true" outlineLevel="0" collapsed="false">
      <c r="A162" s="46" t="s">
        <v>2073</v>
      </c>
      <c r="B162" s="24" t="s">
        <v>791</v>
      </c>
      <c r="C162" s="24" t="s">
        <v>842</v>
      </c>
      <c r="D162" s="24" t="n">
        <v>4</v>
      </c>
      <c r="E162" s="24" t="s">
        <v>1920</v>
      </c>
    </row>
    <row r="163" customFormat="false" ht="15" hidden="false" customHeight="true" outlineLevel="0" collapsed="false">
      <c r="A163" s="46" t="s">
        <v>2074</v>
      </c>
      <c r="B163" s="24" t="s">
        <v>802</v>
      </c>
      <c r="C163" s="24" t="s">
        <v>1785</v>
      </c>
      <c r="D163" s="24" t="n">
        <v>1</v>
      </c>
      <c r="E163" s="24" t="s">
        <v>1915</v>
      </c>
    </row>
    <row r="164" customFormat="false" ht="15" hidden="false" customHeight="true" outlineLevel="0" collapsed="false">
      <c r="A164" s="46" t="s">
        <v>2075</v>
      </c>
      <c r="B164" s="24" t="s">
        <v>802</v>
      </c>
      <c r="C164" s="24" t="s">
        <v>817</v>
      </c>
      <c r="D164" s="24" t="n">
        <v>2</v>
      </c>
      <c r="E164" s="24" t="s">
        <v>1915</v>
      </c>
    </row>
    <row r="165" customFormat="false" ht="15" hidden="false" customHeight="true" outlineLevel="0" collapsed="false">
      <c r="A165" s="46" t="s">
        <v>2076</v>
      </c>
      <c r="B165" s="24" t="s">
        <v>802</v>
      </c>
      <c r="C165" s="24" t="s">
        <v>866</v>
      </c>
      <c r="D165" s="24" t="n">
        <v>3</v>
      </c>
      <c r="E165" s="24" t="s">
        <v>1915</v>
      </c>
    </row>
    <row r="166" customFormat="false" ht="15" hidden="false" customHeight="true" outlineLevel="0" collapsed="false">
      <c r="A166" s="46" t="s">
        <v>2077</v>
      </c>
      <c r="B166" s="24" t="s">
        <v>817</v>
      </c>
      <c r="C166" s="24" t="s">
        <v>802</v>
      </c>
      <c r="D166" s="24" t="n">
        <v>1</v>
      </c>
      <c r="E166" s="24" t="s">
        <v>1915</v>
      </c>
    </row>
    <row r="167" customFormat="false" ht="15" hidden="false" customHeight="true" outlineLevel="0" collapsed="false">
      <c r="A167" s="46" t="s">
        <v>2078</v>
      </c>
      <c r="B167" s="24" t="s">
        <v>817</v>
      </c>
      <c r="C167" s="24" t="s">
        <v>1785</v>
      </c>
      <c r="D167" s="24" t="n">
        <v>2</v>
      </c>
      <c r="E167" s="24" t="s">
        <v>1915</v>
      </c>
    </row>
    <row r="168" customFormat="false" ht="15" hidden="false" customHeight="true" outlineLevel="0" collapsed="false">
      <c r="A168" s="46" t="s">
        <v>2079</v>
      </c>
      <c r="B168" s="24" t="s">
        <v>817</v>
      </c>
      <c r="C168" s="24" t="s">
        <v>866</v>
      </c>
      <c r="D168" s="24" t="n">
        <v>3</v>
      </c>
      <c r="E168" s="24" t="s">
        <v>1915</v>
      </c>
    </row>
    <row r="169" customFormat="false" ht="15" hidden="false" customHeight="true" outlineLevel="0" collapsed="false">
      <c r="A169" s="46" t="s">
        <v>2080</v>
      </c>
      <c r="B169" s="24" t="s">
        <v>831</v>
      </c>
      <c r="C169" s="24" t="s">
        <v>764</v>
      </c>
      <c r="D169" s="24" t="n">
        <v>1</v>
      </c>
      <c r="E169" s="24" t="s">
        <v>1915</v>
      </c>
    </row>
    <row r="170" customFormat="false" ht="15" hidden="false" customHeight="true" outlineLevel="0" collapsed="false">
      <c r="A170" s="46" t="s">
        <v>2081</v>
      </c>
      <c r="B170" s="24" t="s">
        <v>831</v>
      </c>
      <c r="C170" s="24" t="s">
        <v>749</v>
      </c>
      <c r="D170" s="24" t="n">
        <v>2</v>
      </c>
      <c r="E170" s="24" t="s">
        <v>1915</v>
      </c>
    </row>
    <row r="171" customFormat="false" ht="15" hidden="false" customHeight="true" outlineLevel="0" collapsed="false">
      <c r="A171" s="46" t="s">
        <v>2082</v>
      </c>
      <c r="B171" s="24" t="s">
        <v>831</v>
      </c>
      <c r="C171" s="24" t="s">
        <v>1774</v>
      </c>
      <c r="D171" s="24" t="n">
        <v>3</v>
      </c>
      <c r="E171" s="24" t="s">
        <v>1915</v>
      </c>
    </row>
    <row r="172" customFormat="false" ht="15" hidden="false" customHeight="true" outlineLevel="0" collapsed="false">
      <c r="A172" s="46" t="s">
        <v>2083</v>
      </c>
      <c r="B172" s="24" t="s">
        <v>831</v>
      </c>
      <c r="C172" s="24" t="s">
        <v>842</v>
      </c>
      <c r="D172" s="24" t="n">
        <v>4</v>
      </c>
      <c r="E172" s="24" t="s">
        <v>1915</v>
      </c>
    </row>
    <row r="173" customFormat="false" ht="15" hidden="false" customHeight="true" outlineLevel="0" collapsed="false">
      <c r="A173" s="46" t="s">
        <v>2084</v>
      </c>
      <c r="B173" s="24" t="s">
        <v>831</v>
      </c>
      <c r="C173" s="24" t="s">
        <v>775</v>
      </c>
      <c r="D173" s="24" t="n">
        <v>5</v>
      </c>
      <c r="E173" s="24" t="s">
        <v>1920</v>
      </c>
    </row>
    <row r="174" customFormat="false" ht="15" hidden="false" customHeight="true" outlineLevel="0" collapsed="false">
      <c r="A174" s="46" t="s">
        <v>2085</v>
      </c>
      <c r="B174" s="24" t="s">
        <v>842</v>
      </c>
      <c r="C174" s="24" t="s">
        <v>1774</v>
      </c>
      <c r="D174" s="24" t="n">
        <v>1</v>
      </c>
      <c r="E174" s="24" t="s">
        <v>1915</v>
      </c>
    </row>
    <row r="175" customFormat="false" ht="15" hidden="false" customHeight="true" outlineLevel="0" collapsed="false">
      <c r="A175" s="46" t="s">
        <v>2086</v>
      </c>
      <c r="B175" s="24" t="s">
        <v>842</v>
      </c>
      <c r="C175" s="24" t="s">
        <v>764</v>
      </c>
      <c r="D175" s="24" t="n">
        <v>2</v>
      </c>
      <c r="E175" s="24" t="s">
        <v>1915</v>
      </c>
    </row>
    <row r="176" customFormat="false" ht="15" hidden="false" customHeight="true" outlineLevel="0" collapsed="false">
      <c r="A176" s="46" t="s">
        <v>2087</v>
      </c>
      <c r="B176" s="24" t="s">
        <v>842</v>
      </c>
      <c r="C176" s="24" t="s">
        <v>831</v>
      </c>
      <c r="D176" s="24" t="n">
        <v>3</v>
      </c>
      <c r="E176" s="24" t="s">
        <v>1915</v>
      </c>
    </row>
    <row r="177" customFormat="false" ht="15" hidden="false" customHeight="true" outlineLevel="0" collapsed="false">
      <c r="A177" s="46" t="s">
        <v>2088</v>
      </c>
      <c r="B177" s="24" t="s">
        <v>842</v>
      </c>
      <c r="C177" s="24" t="s">
        <v>749</v>
      </c>
      <c r="D177" s="24" t="n">
        <v>4</v>
      </c>
      <c r="E177" s="24" t="s">
        <v>1915</v>
      </c>
    </row>
    <row r="178" customFormat="false" ht="15" hidden="false" customHeight="true" outlineLevel="0" collapsed="false">
      <c r="A178" s="46" t="s">
        <v>2089</v>
      </c>
      <c r="B178" s="24" t="s">
        <v>842</v>
      </c>
      <c r="C178" s="24" t="s">
        <v>854</v>
      </c>
      <c r="D178" s="24" t="n">
        <v>5</v>
      </c>
      <c r="E178" s="24" t="s">
        <v>1920</v>
      </c>
    </row>
    <row r="179" customFormat="false" ht="15" hidden="false" customHeight="true" outlineLevel="0" collapsed="false">
      <c r="A179" s="46" t="s">
        <v>2090</v>
      </c>
      <c r="B179" s="24" t="s">
        <v>854</v>
      </c>
      <c r="C179" s="24" t="s">
        <v>775</v>
      </c>
      <c r="D179" s="24" t="n">
        <v>1</v>
      </c>
      <c r="E179" s="24" t="s">
        <v>1915</v>
      </c>
    </row>
    <row r="180" customFormat="false" ht="15" hidden="false" customHeight="true" outlineLevel="0" collapsed="false">
      <c r="A180" s="46" t="s">
        <v>2091</v>
      </c>
      <c r="B180" s="24" t="s">
        <v>854</v>
      </c>
      <c r="C180" s="24" t="s">
        <v>791</v>
      </c>
      <c r="D180" s="24" t="n">
        <v>2</v>
      </c>
      <c r="E180" s="24" t="s">
        <v>1915</v>
      </c>
    </row>
    <row r="181" customFormat="false" ht="15" hidden="false" customHeight="true" outlineLevel="0" collapsed="false">
      <c r="A181" s="46" t="s">
        <v>2092</v>
      </c>
      <c r="B181" s="24" t="s">
        <v>854</v>
      </c>
      <c r="C181" s="24" t="s">
        <v>1785</v>
      </c>
      <c r="D181" s="24" t="n">
        <v>3</v>
      </c>
      <c r="E181" s="24" t="s">
        <v>1920</v>
      </c>
    </row>
    <row r="182" customFormat="false" ht="15" hidden="false" customHeight="true" outlineLevel="0" collapsed="false">
      <c r="A182" s="46" t="s">
        <v>2093</v>
      </c>
      <c r="B182" s="24" t="s">
        <v>854</v>
      </c>
      <c r="C182" s="24" t="s">
        <v>842</v>
      </c>
      <c r="D182" s="24" t="n">
        <v>4</v>
      </c>
      <c r="E182" s="24" t="s">
        <v>1920</v>
      </c>
    </row>
    <row r="183" customFormat="false" ht="15" hidden="false" customHeight="true" outlineLevel="0" collapsed="false">
      <c r="A183" s="46" t="s">
        <v>2094</v>
      </c>
      <c r="B183" s="24" t="s">
        <v>866</v>
      </c>
      <c r="C183" s="24" t="s">
        <v>1785</v>
      </c>
      <c r="D183" s="24" t="n">
        <v>1</v>
      </c>
      <c r="E183" s="24" t="s">
        <v>1915</v>
      </c>
    </row>
    <row r="184" customFormat="false" ht="15" hidden="false" customHeight="true" outlineLevel="0" collapsed="false">
      <c r="A184" s="46" t="s">
        <v>2095</v>
      </c>
      <c r="B184" s="24" t="s">
        <v>866</v>
      </c>
      <c r="C184" s="24" t="s">
        <v>802</v>
      </c>
      <c r="D184" s="24" t="n">
        <v>2</v>
      </c>
      <c r="E184" s="24" t="s">
        <v>1915</v>
      </c>
    </row>
    <row r="185" customFormat="false" ht="15" hidden="false" customHeight="true" outlineLevel="0" collapsed="false">
      <c r="A185" s="46" t="s">
        <v>2096</v>
      </c>
      <c r="B185" s="24" t="s">
        <v>866</v>
      </c>
      <c r="C185" s="24" t="s">
        <v>817</v>
      </c>
      <c r="D185" s="24" t="n">
        <v>3</v>
      </c>
      <c r="E185" s="24" t="s">
        <v>1915</v>
      </c>
    </row>
    <row r="186" customFormat="false" ht="15" hidden="false" customHeight="true" outlineLevel="0" collapsed="false">
      <c r="A186" s="46" t="s">
        <v>2097</v>
      </c>
      <c r="B186" s="24" t="s">
        <v>877</v>
      </c>
      <c r="C186" s="24" t="s">
        <v>946</v>
      </c>
      <c r="D186" s="24" t="n">
        <v>1</v>
      </c>
      <c r="E186" s="24" t="s">
        <v>1915</v>
      </c>
    </row>
    <row r="187" customFormat="false" ht="15" hidden="false" customHeight="true" outlineLevel="0" collapsed="false">
      <c r="A187" s="46" t="s">
        <v>2098</v>
      </c>
      <c r="B187" s="24" t="s">
        <v>877</v>
      </c>
      <c r="C187" s="24" t="s">
        <v>933</v>
      </c>
      <c r="D187" s="24" t="n">
        <v>2</v>
      </c>
      <c r="E187" s="24" t="s">
        <v>1915</v>
      </c>
    </row>
    <row r="188" customFormat="false" ht="15" hidden="false" customHeight="true" outlineLevel="0" collapsed="false">
      <c r="A188" s="46" t="s">
        <v>2099</v>
      </c>
      <c r="B188" s="24" t="s">
        <v>877</v>
      </c>
      <c r="C188" s="24" t="s">
        <v>893</v>
      </c>
      <c r="D188" s="24" t="n">
        <v>3</v>
      </c>
      <c r="E188" s="24" t="s">
        <v>1915</v>
      </c>
    </row>
    <row r="189" customFormat="false" ht="15" hidden="false" customHeight="true" outlineLevel="0" collapsed="false">
      <c r="A189" s="46" t="s">
        <v>2100</v>
      </c>
      <c r="B189" s="24" t="s">
        <v>877</v>
      </c>
      <c r="C189" s="24" t="s">
        <v>907</v>
      </c>
      <c r="D189" s="24" t="n">
        <v>4</v>
      </c>
      <c r="E189" s="24" t="s">
        <v>1920</v>
      </c>
    </row>
    <row r="190" customFormat="false" ht="15" hidden="false" customHeight="true" outlineLevel="0" collapsed="false">
      <c r="A190" s="46" t="s">
        <v>2101</v>
      </c>
      <c r="B190" s="24" t="s">
        <v>877</v>
      </c>
      <c r="C190" s="24" t="s">
        <v>1007</v>
      </c>
      <c r="D190" s="24" t="n">
        <v>5</v>
      </c>
      <c r="E190" s="24" t="s">
        <v>1920</v>
      </c>
    </row>
    <row r="191" customFormat="false" ht="15" hidden="false" customHeight="true" outlineLevel="0" collapsed="false">
      <c r="A191" s="46" t="s">
        <v>2102</v>
      </c>
      <c r="B191" s="24" t="s">
        <v>877</v>
      </c>
      <c r="C191" s="24" t="s">
        <v>986</v>
      </c>
      <c r="D191" s="24" t="n">
        <v>6</v>
      </c>
      <c r="E191" s="24" t="s">
        <v>1915</v>
      </c>
    </row>
    <row r="192" customFormat="false" ht="15" hidden="false" customHeight="true" outlineLevel="0" collapsed="false">
      <c r="A192" s="46" t="s">
        <v>2103</v>
      </c>
      <c r="B192" s="24" t="s">
        <v>877</v>
      </c>
      <c r="C192" s="24" t="s">
        <v>974</v>
      </c>
      <c r="D192" s="24" t="n">
        <v>7</v>
      </c>
      <c r="E192" s="24" t="s">
        <v>1920</v>
      </c>
    </row>
    <row r="193" customFormat="false" ht="15" hidden="false" customHeight="true" outlineLevel="0" collapsed="false">
      <c r="A193" s="46" t="s">
        <v>2104</v>
      </c>
      <c r="B193" s="24" t="s">
        <v>877</v>
      </c>
      <c r="C193" s="24" t="s">
        <v>1018</v>
      </c>
      <c r="D193" s="24" t="n">
        <v>8</v>
      </c>
      <c r="E193" s="24" t="s">
        <v>1915</v>
      </c>
    </row>
    <row r="194" customFormat="false" ht="15" hidden="false" customHeight="true" outlineLevel="0" collapsed="false">
      <c r="A194" s="46" t="s">
        <v>2105</v>
      </c>
      <c r="B194" s="24" t="s">
        <v>893</v>
      </c>
      <c r="C194" s="24" t="s">
        <v>877</v>
      </c>
      <c r="D194" s="24" t="n">
        <v>1</v>
      </c>
      <c r="E194" s="24" t="s">
        <v>1915</v>
      </c>
    </row>
    <row r="195" customFormat="false" ht="15" hidden="false" customHeight="true" outlineLevel="0" collapsed="false">
      <c r="A195" s="46" t="s">
        <v>2106</v>
      </c>
      <c r="B195" s="24" t="s">
        <v>893</v>
      </c>
      <c r="C195" s="24" t="s">
        <v>933</v>
      </c>
      <c r="D195" s="24" t="n">
        <v>2</v>
      </c>
      <c r="E195" s="24" t="s">
        <v>1915</v>
      </c>
    </row>
    <row r="196" customFormat="false" ht="15" hidden="false" customHeight="true" outlineLevel="0" collapsed="false">
      <c r="A196" s="46" t="s">
        <v>2107</v>
      </c>
      <c r="B196" s="24" t="s">
        <v>893</v>
      </c>
      <c r="C196" s="24" t="s">
        <v>986</v>
      </c>
      <c r="D196" s="24" t="n">
        <v>3</v>
      </c>
      <c r="E196" s="24" t="s">
        <v>1915</v>
      </c>
    </row>
    <row r="197" customFormat="false" ht="15" hidden="false" customHeight="true" outlineLevel="0" collapsed="false">
      <c r="A197" s="46" t="s">
        <v>2108</v>
      </c>
      <c r="B197" s="24" t="s">
        <v>893</v>
      </c>
      <c r="C197" s="24" t="s">
        <v>1007</v>
      </c>
      <c r="D197" s="24" t="n">
        <v>4</v>
      </c>
      <c r="E197" s="24" t="s">
        <v>1920</v>
      </c>
    </row>
    <row r="198" customFormat="false" ht="15" hidden="false" customHeight="true" outlineLevel="0" collapsed="false">
      <c r="A198" s="46" t="s">
        <v>2109</v>
      </c>
      <c r="B198" s="24" t="s">
        <v>893</v>
      </c>
      <c r="C198" s="24" t="s">
        <v>974</v>
      </c>
      <c r="D198" s="24" t="n">
        <v>5</v>
      </c>
      <c r="E198" s="24" t="s">
        <v>1920</v>
      </c>
    </row>
    <row r="199" customFormat="false" ht="15" hidden="false" customHeight="true" outlineLevel="0" collapsed="false">
      <c r="A199" s="46" t="s">
        <v>2110</v>
      </c>
      <c r="B199" s="24" t="s">
        <v>893</v>
      </c>
      <c r="C199" s="24" t="s">
        <v>1018</v>
      </c>
      <c r="D199" s="24" t="n">
        <v>6</v>
      </c>
      <c r="E199" s="24" t="s">
        <v>1915</v>
      </c>
    </row>
    <row r="200" customFormat="false" ht="15" hidden="false" customHeight="true" outlineLevel="0" collapsed="false">
      <c r="A200" s="46" t="s">
        <v>2111</v>
      </c>
      <c r="B200" s="24" t="s">
        <v>907</v>
      </c>
      <c r="C200" s="24" t="s">
        <v>1007</v>
      </c>
      <c r="D200" s="24" t="n">
        <v>1</v>
      </c>
      <c r="E200" s="24" t="s">
        <v>1915</v>
      </c>
    </row>
    <row r="201" customFormat="false" ht="15" hidden="false" customHeight="true" outlineLevel="0" collapsed="false">
      <c r="A201" s="46" t="s">
        <v>2112</v>
      </c>
      <c r="B201" s="24" t="s">
        <v>907</v>
      </c>
      <c r="C201" s="24" t="s">
        <v>921</v>
      </c>
      <c r="D201" s="24" t="n">
        <v>2</v>
      </c>
      <c r="E201" s="24" t="s">
        <v>1915</v>
      </c>
    </row>
    <row r="202" customFormat="false" ht="15" hidden="false" customHeight="true" outlineLevel="0" collapsed="false">
      <c r="A202" s="46" t="s">
        <v>2113</v>
      </c>
      <c r="B202" s="24" t="s">
        <v>907</v>
      </c>
      <c r="C202" s="24" t="s">
        <v>974</v>
      </c>
      <c r="D202" s="24" t="n">
        <v>3</v>
      </c>
      <c r="E202" s="24" t="s">
        <v>1915</v>
      </c>
    </row>
    <row r="203" customFormat="false" ht="15" hidden="false" customHeight="true" outlineLevel="0" collapsed="false">
      <c r="A203" s="46" t="s">
        <v>2114</v>
      </c>
      <c r="B203" s="24" t="s">
        <v>907</v>
      </c>
      <c r="C203" s="24" t="s">
        <v>893</v>
      </c>
      <c r="D203" s="24" t="n">
        <v>4</v>
      </c>
      <c r="E203" s="24" t="s">
        <v>1920</v>
      </c>
    </row>
    <row r="204" customFormat="false" ht="15" hidden="false" customHeight="true" outlineLevel="0" collapsed="false">
      <c r="A204" s="46" t="s">
        <v>2115</v>
      </c>
      <c r="B204" s="24" t="s">
        <v>907</v>
      </c>
      <c r="C204" s="24" t="s">
        <v>933</v>
      </c>
      <c r="D204" s="24" t="n">
        <v>5</v>
      </c>
      <c r="E204" s="24" t="s">
        <v>1920</v>
      </c>
    </row>
    <row r="205" customFormat="false" ht="15" hidden="false" customHeight="true" outlineLevel="0" collapsed="false">
      <c r="A205" s="46" t="s">
        <v>2116</v>
      </c>
      <c r="B205" s="24" t="s">
        <v>921</v>
      </c>
      <c r="C205" s="24" t="s">
        <v>1007</v>
      </c>
      <c r="D205" s="24" t="n">
        <v>1</v>
      </c>
      <c r="E205" s="24" t="s">
        <v>1915</v>
      </c>
    </row>
    <row r="206" customFormat="false" ht="15" hidden="false" customHeight="true" outlineLevel="0" collapsed="false">
      <c r="A206" s="46" t="s">
        <v>2117</v>
      </c>
      <c r="B206" s="24" t="s">
        <v>921</v>
      </c>
      <c r="C206" s="24" t="s">
        <v>974</v>
      </c>
      <c r="D206" s="24" t="n">
        <v>2</v>
      </c>
      <c r="E206" s="24" t="s">
        <v>1915</v>
      </c>
    </row>
    <row r="207" customFormat="false" ht="15" hidden="false" customHeight="true" outlineLevel="0" collapsed="false">
      <c r="A207" s="46" t="s">
        <v>2118</v>
      </c>
      <c r="B207" s="24" t="s">
        <v>921</v>
      </c>
      <c r="C207" s="24" t="s">
        <v>907</v>
      </c>
      <c r="D207" s="24" t="n">
        <v>3</v>
      </c>
      <c r="E207" s="24" t="s">
        <v>1915</v>
      </c>
    </row>
    <row r="208" customFormat="false" ht="15" hidden="false" customHeight="true" outlineLevel="0" collapsed="false">
      <c r="A208" s="46" t="s">
        <v>2119</v>
      </c>
      <c r="B208" s="24" t="s">
        <v>921</v>
      </c>
      <c r="C208" s="24" t="s">
        <v>986</v>
      </c>
      <c r="D208" s="24" t="n">
        <v>4</v>
      </c>
      <c r="E208" s="24" t="s">
        <v>1920</v>
      </c>
    </row>
    <row r="209" customFormat="false" ht="15" hidden="false" customHeight="true" outlineLevel="0" collapsed="false">
      <c r="A209" s="46" t="s">
        <v>2120</v>
      </c>
      <c r="B209" s="24" t="s">
        <v>921</v>
      </c>
      <c r="C209" s="24" t="s">
        <v>893</v>
      </c>
      <c r="D209" s="24" t="n">
        <v>5</v>
      </c>
      <c r="E209" s="24" t="s">
        <v>1920</v>
      </c>
    </row>
    <row r="210" customFormat="false" ht="15" hidden="false" customHeight="true" outlineLevel="0" collapsed="false">
      <c r="A210" s="46" t="s">
        <v>2121</v>
      </c>
      <c r="B210" s="24" t="s">
        <v>933</v>
      </c>
      <c r="C210" s="24" t="s">
        <v>877</v>
      </c>
      <c r="D210" s="24" t="n">
        <v>1</v>
      </c>
      <c r="E210" s="24" t="s">
        <v>1915</v>
      </c>
    </row>
    <row r="211" customFormat="false" ht="15" hidden="false" customHeight="true" outlineLevel="0" collapsed="false">
      <c r="A211" s="46" t="s">
        <v>2122</v>
      </c>
      <c r="B211" s="24" t="s">
        <v>933</v>
      </c>
      <c r="C211" s="24" t="s">
        <v>893</v>
      </c>
      <c r="D211" s="24" t="n">
        <v>2</v>
      </c>
      <c r="E211" s="24" t="s">
        <v>1915</v>
      </c>
    </row>
    <row r="212" customFormat="false" ht="15" hidden="false" customHeight="true" outlineLevel="0" collapsed="false">
      <c r="A212" s="46" t="s">
        <v>2123</v>
      </c>
      <c r="B212" s="24" t="s">
        <v>933</v>
      </c>
      <c r="C212" s="24" t="s">
        <v>907</v>
      </c>
      <c r="D212" s="24" t="n">
        <v>3</v>
      </c>
      <c r="E212" s="24" t="s">
        <v>1920</v>
      </c>
    </row>
    <row r="213" customFormat="false" ht="15" hidden="false" customHeight="true" outlineLevel="0" collapsed="false">
      <c r="A213" s="46" t="s">
        <v>2124</v>
      </c>
      <c r="B213" s="24" t="s">
        <v>933</v>
      </c>
      <c r="C213" s="24" t="s">
        <v>986</v>
      </c>
      <c r="D213" s="24" t="n">
        <v>4</v>
      </c>
      <c r="E213" s="24" t="s">
        <v>1915</v>
      </c>
    </row>
    <row r="214" customFormat="false" ht="15" hidden="false" customHeight="true" outlineLevel="0" collapsed="false">
      <c r="A214" s="46" t="s">
        <v>2125</v>
      </c>
      <c r="B214" s="24" t="s">
        <v>933</v>
      </c>
      <c r="C214" s="24" t="s">
        <v>1018</v>
      </c>
      <c r="D214" s="24" t="n">
        <v>5</v>
      </c>
      <c r="E214" s="24" t="s">
        <v>1915</v>
      </c>
    </row>
    <row r="215" customFormat="false" ht="15" hidden="false" customHeight="true" outlineLevel="0" collapsed="false">
      <c r="A215" s="46" t="s">
        <v>2126</v>
      </c>
      <c r="B215" s="24" t="s">
        <v>946</v>
      </c>
      <c r="C215" s="24" t="s">
        <v>893</v>
      </c>
      <c r="D215" s="24" t="n">
        <v>1</v>
      </c>
      <c r="E215" s="24" t="s">
        <v>1915</v>
      </c>
    </row>
    <row r="216" customFormat="false" ht="15" hidden="false" customHeight="true" outlineLevel="0" collapsed="false">
      <c r="A216" s="46" t="s">
        <v>2127</v>
      </c>
      <c r="B216" s="24" t="s">
        <v>946</v>
      </c>
      <c r="C216" s="24" t="s">
        <v>877</v>
      </c>
      <c r="D216" s="24" t="n">
        <v>2</v>
      </c>
      <c r="E216" s="24" t="s">
        <v>1915</v>
      </c>
    </row>
    <row r="217" customFormat="false" ht="15" hidden="false" customHeight="true" outlineLevel="0" collapsed="false">
      <c r="A217" s="46" t="s">
        <v>2128</v>
      </c>
      <c r="B217" s="24" t="s">
        <v>946</v>
      </c>
      <c r="C217" s="24" t="s">
        <v>933</v>
      </c>
      <c r="D217" s="24" t="n">
        <v>3</v>
      </c>
      <c r="E217" s="24" t="s">
        <v>1915</v>
      </c>
    </row>
    <row r="218" customFormat="false" ht="15" hidden="false" customHeight="true" outlineLevel="0" collapsed="false">
      <c r="A218" s="46" t="s">
        <v>2129</v>
      </c>
      <c r="B218" s="24" t="s">
        <v>946</v>
      </c>
      <c r="C218" s="24" t="s">
        <v>907</v>
      </c>
      <c r="D218" s="24" t="n">
        <v>4</v>
      </c>
      <c r="E218" s="24" t="s">
        <v>1920</v>
      </c>
    </row>
    <row r="219" customFormat="false" ht="15" hidden="false" customHeight="true" outlineLevel="0" collapsed="false">
      <c r="A219" s="46" t="s">
        <v>2130</v>
      </c>
      <c r="B219" s="24" t="s">
        <v>946</v>
      </c>
      <c r="C219" s="24" t="s">
        <v>986</v>
      </c>
      <c r="D219" s="24" t="n">
        <v>5</v>
      </c>
      <c r="E219" s="24" t="s">
        <v>1915</v>
      </c>
    </row>
    <row r="220" customFormat="false" ht="15" hidden="false" customHeight="true" outlineLevel="0" collapsed="false">
      <c r="A220" s="46" t="s">
        <v>2131</v>
      </c>
      <c r="B220" s="24" t="s">
        <v>958</v>
      </c>
      <c r="C220" s="24" t="s">
        <v>1795</v>
      </c>
      <c r="D220" s="24" t="n">
        <v>1</v>
      </c>
      <c r="E220" s="24" t="s">
        <v>1915</v>
      </c>
    </row>
    <row r="221" customFormat="false" ht="15" hidden="false" customHeight="true" outlineLevel="0" collapsed="false">
      <c r="A221" s="46" t="s">
        <v>2132</v>
      </c>
      <c r="B221" s="24" t="s">
        <v>958</v>
      </c>
      <c r="C221" s="24" t="s">
        <v>997</v>
      </c>
      <c r="D221" s="24" t="n">
        <v>2</v>
      </c>
      <c r="E221" s="24" t="s">
        <v>1915</v>
      </c>
    </row>
    <row r="222" customFormat="false" ht="15" hidden="false" customHeight="true" outlineLevel="0" collapsed="false">
      <c r="A222" s="46" t="s">
        <v>2133</v>
      </c>
      <c r="B222" s="24" t="s">
        <v>958</v>
      </c>
      <c r="C222" s="24" t="s">
        <v>933</v>
      </c>
      <c r="D222" s="24" t="n">
        <v>3</v>
      </c>
      <c r="E222" s="24" t="s">
        <v>1920</v>
      </c>
    </row>
    <row r="223" customFormat="false" ht="15" hidden="false" customHeight="true" outlineLevel="0" collapsed="false">
      <c r="A223" s="46" t="s">
        <v>2134</v>
      </c>
      <c r="B223" s="24" t="s">
        <v>958</v>
      </c>
      <c r="C223" s="24" t="s">
        <v>986</v>
      </c>
      <c r="D223" s="24" t="n">
        <v>4</v>
      </c>
      <c r="E223" s="24" t="s">
        <v>1920</v>
      </c>
    </row>
    <row r="224" customFormat="false" ht="15" hidden="false" customHeight="true" outlineLevel="0" collapsed="false">
      <c r="A224" s="46" t="s">
        <v>2135</v>
      </c>
      <c r="B224" s="24" t="s">
        <v>958</v>
      </c>
      <c r="C224" s="24" t="s">
        <v>1018</v>
      </c>
      <c r="D224" s="24" t="n">
        <v>5</v>
      </c>
      <c r="E224" s="24" t="s">
        <v>1920</v>
      </c>
    </row>
    <row r="225" customFormat="false" ht="15" hidden="false" customHeight="true" outlineLevel="0" collapsed="false">
      <c r="A225" s="46" t="s">
        <v>2136</v>
      </c>
      <c r="B225" s="24" t="s">
        <v>974</v>
      </c>
      <c r="C225" s="24" t="s">
        <v>1007</v>
      </c>
      <c r="D225" s="24" t="n">
        <v>1</v>
      </c>
      <c r="E225" s="24" t="s">
        <v>1915</v>
      </c>
    </row>
    <row r="226" customFormat="false" ht="15" hidden="false" customHeight="true" outlineLevel="0" collapsed="false">
      <c r="A226" s="46" t="s">
        <v>2137</v>
      </c>
      <c r="B226" s="24" t="s">
        <v>974</v>
      </c>
      <c r="C226" s="24" t="s">
        <v>921</v>
      </c>
      <c r="D226" s="24" t="n">
        <v>2</v>
      </c>
      <c r="E226" s="24" t="s">
        <v>1915</v>
      </c>
    </row>
    <row r="227" customFormat="false" ht="15" hidden="false" customHeight="true" outlineLevel="0" collapsed="false">
      <c r="A227" s="46" t="s">
        <v>2138</v>
      </c>
      <c r="B227" s="24" t="s">
        <v>974</v>
      </c>
      <c r="C227" s="24" t="s">
        <v>907</v>
      </c>
      <c r="D227" s="24" t="n">
        <v>3</v>
      </c>
      <c r="E227" s="24" t="s">
        <v>1915</v>
      </c>
    </row>
    <row r="228" customFormat="false" ht="15" hidden="false" customHeight="true" outlineLevel="0" collapsed="false">
      <c r="A228" s="46" t="s">
        <v>2139</v>
      </c>
      <c r="B228" s="24" t="s">
        <v>974</v>
      </c>
      <c r="C228" s="24" t="s">
        <v>986</v>
      </c>
      <c r="D228" s="24" t="n">
        <v>4</v>
      </c>
      <c r="E228" s="24" t="s">
        <v>1920</v>
      </c>
    </row>
    <row r="229" customFormat="false" ht="15" hidden="false" customHeight="true" outlineLevel="0" collapsed="false">
      <c r="A229" s="46" t="s">
        <v>2140</v>
      </c>
      <c r="B229" s="24" t="s">
        <v>986</v>
      </c>
      <c r="C229" s="24" t="s">
        <v>893</v>
      </c>
      <c r="D229" s="24" t="n">
        <v>1</v>
      </c>
      <c r="E229" s="24" t="s">
        <v>1915</v>
      </c>
    </row>
    <row r="230" customFormat="false" ht="15" hidden="false" customHeight="true" outlineLevel="0" collapsed="false">
      <c r="A230" s="46" t="s">
        <v>2141</v>
      </c>
      <c r="B230" s="24" t="s">
        <v>986</v>
      </c>
      <c r="C230" s="24" t="s">
        <v>1007</v>
      </c>
      <c r="D230" s="24" t="n">
        <v>2</v>
      </c>
      <c r="E230" s="24" t="s">
        <v>1920</v>
      </c>
    </row>
    <row r="231" customFormat="false" ht="15" hidden="false" customHeight="true" outlineLevel="0" collapsed="false">
      <c r="A231" s="46" t="s">
        <v>2142</v>
      </c>
      <c r="B231" s="24" t="s">
        <v>986</v>
      </c>
      <c r="C231" s="24" t="s">
        <v>1018</v>
      </c>
      <c r="D231" s="24" t="n">
        <v>3</v>
      </c>
      <c r="E231" s="24" t="s">
        <v>1915</v>
      </c>
    </row>
    <row r="232" customFormat="false" ht="15" hidden="false" customHeight="true" outlineLevel="0" collapsed="false">
      <c r="A232" s="46" t="s">
        <v>2143</v>
      </c>
      <c r="B232" s="24" t="s">
        <v>986</v>
      </c>
      <c r="C232" s="24" t="s">
        <v>933</v>
      </c>
      <c r="D232" s="24" t="n">
        <v>4</v>
      </c>
      <c r="E232" s="24" t="s">
        <v>1915</v>
      </c>
    </row>
    <row r="233" customFormat="false" ht="15" hidden="false" customHeight="true" outlineLevel="0" collapsed="false">
      <c r="A233" s="46" t="s">
        <v>2144</v>
      </c>
      <c r="B233" s="24" t="s">
        <v>986</v>
      </c>
      <c r="C233" s="24" t="s">
        <v>974</v>
      </c>
      <c r="D233" s="24" t="n">
        <v>5</v>
      </c>
      <c r="E233" s="24" t="s">
        <v>1920</v>
      </c>
    </row>
    <row r="234" customFormat="false" ht="15" hidden="false" customHeight="true" outlineLevel="0" collapsed="false">
      <c r="A234" s="46" t="s">
        <v>2145</v>
      </c>
      <c r="B234" s="24" t="s">
        <v>997</v>
      </c>
      <c r="C234" s="24" t="s">
        <v>1795</v>
      </c>
      <c r="D234" s="24" t="n">
        <v>1</v>
      </c>
      <c r="E234" s="24" t="s">
        <v>1915</v>
      </c>
    </row>
    <row r="235" customFormat="false" ht="15" hidden="false" customHeight="true" outlineLevel="0" collapsed="false">
      <c r="A235" s="46" t="s">
        <v>2146</v>
      </c>
      <c r="B235" s="24" t="s">
        <v>997</v>
      </c>
      <c r="C235" s="24" t="s">
        <v>958</v>
      </c>
      <c r="D235" s="24" t="n">
        <v>2</v>
      </c>
      <c r="E235" s="24" t="s">
        <v>1915</v>
      </c>
    </row>
    <row r="236" customFormat="false" ht="15" hidden="false" customHeight="true" outlineLevel="0" collapsed="false">
      <c r="A236" s="46" t="s">
        <v>2147</v>
      </c>
      <c r="B236" s="24" t="s">
        <v>997</v>
      </c>
      <c r="C236" s="24" t="s">
        <v>1018</v>
      </c>
      <c r="D236" s="24" t="n">
        <v>3</v>
      </c>
      <c r="E236" s="24" t="s">
        <v>1920</v>
      </c>
    </row>
    <row r="237" customFormat="false" ht="15" hidden="false" customHeight="true" outlineLevel="0" collapsed="false">
      <c r="A237" s="46" t="s">
        <v>2148</v>
      </c>
      <c r="B237" s="24" t="s">
        <v>997</v>
      </c>
      <c r="C237" s="24" t="s">
        <v>986</v>
      </c>
      <c r="D237" s="24" t="n">
        <v>4</v>
      </c>
      <c r="E237" s="24" t="s">
        <v>1920</v>
      </c>
    </row>
    <row r="238" customFormat="false" ht="15" hidden="false" customHeight="true" outlineLevel="0" collapsed="false">
      <c r="A238" s="46" t="s">
        <v>2149</v>
      </c>
      <c r="B238" s="24" t="s">
        <v>1007</v>
      </c>
      <c r="C238" s="24" t="s">
        <v>921</v>
      </c>
      <c r="D238" s="24" t="n">
        <v>1</v>
      </c>
      <c r="E238" s="24" t="s">
        <v>1915</v>
      </c>
    </row>
    <row r="239" customFormat="false" ht="15" hidden="false" customHeight="true" outlineLevel="0" collapsed="false">
      <c r="A239" s="46" t="s">
        <v>2150</v>
      </c>
      <c r="B239" s="24" t="s">
        <v>1007</v>
      </c>
      <c r="C239" s="24" t="s">
        <v>974</v>
      </c>
      <c r="D239" s="24" t="n">
        <v>2</v>
      </c>
      <c r="E239" s="24" t="s">
        <v>1915</v>
      </c>
    </row>
    <row r="240" customFormat="false" ht="15" hidden="false" customHeight="true" outlineLevel="0" collapsed="false">
      <c r="A240" s="46" t="s">
        <v>2151</v>
      </c>
      <c r="B240" s="24" t="s">
        <v>1007</v>
      </c>
      <c r="C240" s="24" t="s">
        <v>907</v>
      </c>
      <c r="D240" s="24" t="n">
        <v>3</v>
      </c>
      <c r="E240" s="24" t="s">
        <v>1915</v>
      </c>
    </row>
    <row r="241" customFormat="false" ht="15" hidden="false" customHeight="true" outlineLevel="0" collapsed="false">
      <c r="A241" s="46" t="s">
        <v>2152</v>
      </c>
      <c r="B241" s="24" t="s">
        <v>1007</v>
      </c>
      <c r="C241" s="24" t="s">
        <v>986</v>
      </c>
      <c r="D241" s="24" t="n">
        <v>4</v>
      </c>
      <c r="E241" s="24" t="s">
        <v>1920</v>
      </c>
    </row>
    <row r="242" customFormat="false" ht="15" hidden="false" customHeight="true" outlineLevel="0" collapsed="false">
      <c r="A242" s="46" t="s">
        <v>2153</v>
      </c>
      <c r="B242" s="24" t="s">
        <v>1018</v>
      </c>
      <c r="C242" s="24" t="s">
        <v>986</v>
      </c>
      <c r="D242" s="24" t="n">
        <v>1</v>
      </c>
      <c r="E242" s="24" t="s">
        <v>1915</v>
      </c>
    </row>
    <row r="243" customFormat="false" ht="15" hidden="false" customHeight="true" outlineLevel="0" collapsed="false">
      <c r="A243" s="46" t="s">
        <v>2154</v>
      </c>
      <c r="B243" s="24" t="s">
        <v>1018</v>
      </c>
      <c r="C243" s="24" t="s">
        <v>893</v>
      </c>
      <c r="D243" s="24" t="n">
        <v>2</v>
      </c>
      <c r="E243" s="24" t="s">
        <v>1915</v>
      </c>
    </row>
    <row r="244" customFormat="false" ht="15" hidden="false" customHeight="true" outlineLevel="0" collapsed="false">
      <c r="A244" s="46" t="s">
        <v>2155</v>
      </c>
      <c r="B244" s="24" t="s">
        <v>1018</v>
      </c>
      <c r="C244" s="24" t="s">
        <v>933</v>
      </c>
      <c r="D244" s="24" t="n">
        <v>3</v>
      </c>
      <c r="E244" s="24" t="s">
        <v>1915</v>
      </c>
    </row>
    <row r="245" customFormat="false" ht="15" hidden="false" customHeight="true" outlineLevel="0" collapsed="false">
      <c r="A245" s="46" t="s">
        <v>2156</v>
      </c>
      <c r="B245" s="24" t="s">
        <v>1018</v>
      </c>
      <c r="C245" s="24" t="s">
        <v>1007</v>
      </c>
      <c r="D245" s="24" t="n">
        <v>4</v>
      </c>
      <c r="E245" s="24" t="s">
        <v>1920</v>
      </c>
    </row>
    <row r="246" customFormat="false" ht="15" hidden="false" customHeight="true" outlineLevel="0" collapsed="false">
      <c r="A246" s="46" t="s">
        <v>2157</v>
      </c>
      <c r="B246" s="24" t="s">
        <v>1035</v>
      </c>
      <c r="C246" s="24" t="s">
        <v>986</v>
      </c>
      <c r="D246" s="24" t="n">
        <v>1</v>
      </c>
      <c r="E246" s="24" t="s">
        <v>1915</v>
      </c>
    </row>
    <row r="247" customFormat="false" ht="15" hidden="false" customHeight="true" outlineLevel="0" collapsed="false">
      <c r="A247" s="46" t="s">
        <v>2158</v>
      </c>
      <c r="B247" s="24" t="s">
        <v>1035</v>
      </c>
      <c r="C247" s="24" t="s">
        <v>893</v>
      </c>
      <c r="D247" s="24" t="n">
        <v>2</v>
      </c>
      <c r="E247" s="24" t="s">
        <v>1915</v>
      </c>
    </row>
    <row r="248" customFormat="false" ht="15" hidden="false" customHeight="true" outlineLevel="0" collapsed="false">
      <c r="A248" s="46" t="s">
        <v>2159</v>
      </c>
      <c r="B248" s="24" t="s">
        <v>1035</v>
      </c>
      <c r="C248" s="24" t="s">
        <v>921</v>
      </c>
      <c r="D248" s="24" t="n">
        <v>3</v>
      </c>
      <c r="E248" s="24" t="s">
        <v>1920</v>
      </c>
    </row>
    <row r="249" customFormat="false" ht="15" hidden="false" customHeight="true" outlineLevel="0" collapsed="false">
      <c r="A249" s="46" t="s">
        <v>2160</v>
      </c>
      <c r="B249" s="24" t="s">
        <v>1035</v>
      </c>
      <c r="C249" s="24" t="s">
        <v>974</v>
      </c>
      <c r="D249" s="24" t="n">
        <v>4</v>
      </c>
      <c r="E249" s="24" t="s">
        <v>1920</v>
      </c>
    </row>
    <row r="250" customFormat="false" ht="15" hidden="false" customHeight="true" outlineLevel="0" collapsed="false">
      <c r="A250" s="46" t="s">
        <v>2161</v>
      </c>
      <c r="B250" s="24" t="s">
        <v>1047</v>
      </c>
      <c r="C250" s="24" t="s">
        <v>1127</v>
      </c>
      <c r="D250" s="24" t="n">
        <v>1</v>
      </c>
      <c r="E250" s="24" t="s">
        <v>1915</v>
      </c>
    </row>
    <row r="251" customFormat="false" ht="15" hidden="false" customHeight="true" outlineLevel="0" collapsed="false">
      <c r="A251" s="46" t="s">
        <v>2162</v>
      </c>
      <c r="B251" s="24" t="s">
        <v>1047</v>
      </c>
      <c r="C251" s="24" t="s">
        <v>1140</v>
      </c>
      <c r="D251" s="24" t="n">
        <v>2</v>
      </c>
      <c r="E251" s="24" t="s">
        <v>1915</v>
      </c>
    </row>
    <row r="252" customFormat="false" ht="15" hidden="false" customHeight="true" outlineLevel="0" collapsed="false">
      <c r="A252" s="46" t="s">
        <v>2163</v>
      </c>
      <c r="B252" s="24" t="s">
        <v>1047</v>
      </c>
      <c r="C252" s="24" t="s">
        <v>1737</v>
      </c>
      <c r="D252" s="24" t="n">
        <v>3</v>
      </c>
      <c r="E252" s="24" t="s">
        <v>1920</v>
      </c>
    </row>
    <row r="253" customFormat="false" ht="15" hidden="false" customHeight="true" outlineLevel="0" collapsed="false">
      <c r="A253" s="46" t="s">
        <v>2164</v>
      </c>
      <c r="B253" s="24" t="s">
        <v>1047</v>
      </c>
      <c r="C253" s="24" t="s">
        <v>1152</v>
      </c>
      <c r="D253" s="24" t="n">
        <v>4</v>
      </c>
      <c r="E253" s="24" t="s">
        <v>1915</v>
      </c>
    </row>
    <row r="254" customFormat="false" ht="15" hidden="false" customHeight="true" outlineLevel="0" collapsed="false">
      <c r="A254" s="46" t="s">
        <v>2165</v>
      </c>
      <c r="B254" s="24" t="s">
        <v>1047</v>
      </c>
      <c r="C254" s="24" t="s">
        <v>1063</v>
      </c>
      <c r="D254" s="24" t="n">
        <v>5</v>
      </c>
      <c r="E254" s="24" t="s">
        <v>1920</v>
      </c>
    </row>
    <row r="255" customFormat="false" ht="15" hidden="false" customHeight="true" outlineLevel="0" collapsed="false">
      <c r="A255" s="46" t="s">
        <v>2166</v>
      </c>
      <c r="B255" s="24" t="s">
        <v>1047</v>
      </c>
      <c r="C255" s="24" t="s">
        <v>1076</v>
      </c>
      <c r="D255" s="24" t="n">
        <v>6</v>
      </c>
      <c r="E255" s="24" t="s">
        <v>1920</v>
      </c>
    </row>
    <row r="256" customFormat="false" ht="15" hidden="false" customHeight="true" outlineLevel="0" collapsed="false">
      <c r="A256" s="46" t="s">
        <v>2167</v>
      </c>
      <c r="B256" s="24" t="s">
        <v>1047</v>
      </c>
      <c r="C256" s="24" t="s">
        <v>1193</v>
      </c>
      <c r="D256" s="24" t="n">
        <v>7</v>
      </c>
      <c r="E256" s="24" t="s">
        <v>1915</v>
      </c>
    </row>
    <row r="257" customFormat="false" ht="15" hidden="false" customHeight="true" outlineLevel="0" collapsed="false">
      <c r="A257" s="46" t="s">
        <v>2168</v>
      </c>
      <c r="B257" s="24" t="s">
        <v>1063</v>
      </c>
      <c r="C257" s="24" t="s">
        <v>1076</v>
      </c>
      <c r="D257" s="24" t="n">
        <v>1</v>
      </c>
      <c r="E257" s="24" t="s">
        <v>1915</v>
      </c>
    </row>
    <row r="258" customFormat="false" ht="15" hidden="false" customHeight="true" outlineLevel="0" collapsed="false">
      <c r="A258" s="46" t="s">
        <v>2169</v>
      </c>
      <c r="B258" s="24" t="s">
        <v>1063</v>
      </c>
      <c r="C258" s="24" t="s">
        <v>1181</v>
      </c>
      <c r="D258" s="24" t="n">
        <v>2</v>
      </c>
      <c r="E258" s="24" t="s">
        <v>1915</v>
      </c>
    </row>
    <row r="259" customFormat="false" ht="15" hidden="false" customHeight="true" outlineLevel="0" collapsed="false">
      <c r="A259" s="46" t="s">
        <v>2170</v>
      </c>
      <c r="B259" s="24" t="s">
        <v>1063</v>
      </c>
      <c r="C259" s="24" t="s">
        <v>1140</v>
      </c>
      <c r="D259" s="24" t="n">
        <v>3</v>
      </c>
      <c r="E259" s="24" t="s">
        <v>1920</v>
      </c>
    </row>
    <row r="260" customFormat="false" ht="15" hidden="false" customHeight="true" outlineLevel="0" collapsed="false">
      <c r="A260" s="46" t="s">
        <v>2171</v>
      </c>
      <c r="B260" s="24" t="s">
        <v>1063</v>
      </c>
      <c r="C260" s="24" t="s">
        <v>1047</v>
      </c>
      <c r="D260" s="24" t="n">
        <v>4</v>
      </c>
      <c r="E260" s="24" t="s">
        <v>1920</v>
      </c>
    </row>
    <row r="261" customFormat="false" ht="15" hidden="false" customHeight="true" outlineLevel="0" collapsed="false">
      <c r="A261" s="46" t="s">
        <v>2172</v>
      </c>
      <c r="B261" s="24" t="s">
        <v>1063</v>
      </c>
      <c r="C261" s="24" t="s">
        <v>1152</v>
      </c>
      <c r="D261" s="24" t="n">
        <v>5</v>
      </c>
      <c r="E261" s="24" t="s">
        <v>1920</v>
      </c>
    </row>
    <row r="262" customFormat="false" ht="15" hidden="false" customHeight="true" outlineLevel="0" collapsed="false">
      <c r="A262" s="46" t="s">
        <v>2173</v>
      </c>
      <c r="B262" s="24" t="s">
        <v>1076</v>
      </c>
      <c r="C262" s="24" t="s">
        <v>1063</v>
      </c>
      <c r="D262" s="24" t="n">
        <v>1</v>
      </c>
      <c r="E262" s="24" t="s">
        <v>1915</v>
      </c>
    </row>
    <row r="263" customFormat="false" ht="15" hidden="false" customHeight="true" outlineLevel="0" collapsed="false">
      <c r="A263" s="46" t="s">
        <v>2174</v>
      </c>
      <c r="B263" s="24" t="s">
        <v>1076</v>
      </c>
      <c r="C263" s="24" t="s">
        <v>1181</v>
      </c>
      <c r="D263" s="24" t="n">
        <v>2</v>
      </c>
      <c r="E263" s="24" t="s">
        <v>1915</v>
      </c>
    </row>
    <row r="264" customFormat="false" ht="15" hidden="false" customHeight="true" outlineLevel="0" collapsed="false">
      <c r="A264" s="46" t="s">
        <v>2175</v>
      </c>
      <c r="B264" s="24" t="s">
        <v>1076</v>
      </c>
      <c r="C264" s="24" t="s">
        <v>1140</v>
      </c>
      <c r="D264" s="24" t="n">
        <v>3</v>
      </c>
      <c r="E264" s="24" t="s">
        <v>1920</v>
      </c>
    </row>
    <row r="265" customFormat="false" ht="15" hidden="false" customHeight="true" outlineLevel="0" collapsed="false">
      <c r="A265" s="46" t="s">
        <v>2176</v>
      </c>
      <c r="B265" s="24" t="s">
        <v>1076</v>
      </c>
      <c r="C265" s="24" t="s">
        <v>1152</v>
      </c>
      <c r="D265" s="24" t="n">
        <v>4</v>
      </c>
      <c r="E265" s="24" t="s">
        <v>1920</v>
      </c>
    </row>
    <row r="266" customFormat="false" ht="15" hidden="false" customHeight="true" outlineLevel="0" collapsed="false">
      <c r="A266" s="46" t="s">
        <v>2177</v>
      </c>
      <c r="B266" s="24" t="s">
        <v>1076</v>
      </c>
      <c r="C266" s="24" t="s">
        <v>1193</v>
      </c>
      <c r="D266" s="24" t="n">
        <v>5</v>
      </c>
      <c r="E266" s="24" t="s">
        <v>1920</v>
      </c>
    </row>
    <row r="267" customFormat="false" ht="15" hidden="false" customHeight="true" outlineLevel="0" collapsed="false">
      <c r="A267" s="46" t="s">
        <v>2178</v>
      </c>
      <c r="B267" s="24" t="s">
        <v>1087</v>
      </c>
      <c r="C267" s="24" t="s">
        <v>1103</v>
      </c>
      <c r="D267" s="24" t="n">
        <v>1</v>
      </c>
      <c r="E267" s="24" t="s">
        <v>1915</v>
      </c>
    </row>
    <row r="268" customFormat="false" ht="15" hidden="false" customHeight="true" outlineLevel="0" collapsed="false">
      <c r="A268" s="46" t="s">
        <v>2179</v>
      </c>
      <c r="B268" s="24" t="s">
        <v>1087</v>
      </c>
      <c r="C268" s="24" t="s">
        <v>1819</v>
      </c>
      <c r="D268" s="24" t="n">
        <v>2</v>
      </c>
      <c r="E268" s="24" t="s">
        <v>1915</v>
      </c>
    </row>
    <row r="269" customFormat="false" ht="15" hidden="false" customHeight="true" outlineLevel="0" collapsed="false">
      <c r="A269" s="46" t="s">
        <v>2180</v>
      </c>
      <c r="B269" s="24" t="s">
        <v>1087</v>
      </c>
      <c r="C269" s="24" t="s">
        <v>1114</v>
      </c>
      <c r="D269" s="24" t="n">
        <v>3</v>
      </c>
      <c r="E269" s="24" t="s">
        <v>1915</v>
      </c>
    </row>
    <row r="270" customFormat="false" ht="15" hidden="false" customHeight="true" outlineLevel="0" collapsed="false">
      <c r="A270" s="46" t="s">
        <v>2181</v>
      </c>
      <c r="B270" s="24" t="s">
        <v>1087</v>
      </c>
      <c r="C270" s="24" t="s">
        <v>1047</v>
      </c>
      <c r="D270" s="24" t="n">
        <v>4</v>
      </c>
      <c r="E270" s="24" t="s">
        <v>1920</v>
      </c>
    </row>
    <row r="271" customFormat="false" ht="15" hidden="false" customHeight="true" outlineLevel="0" collapsed="false">
      <c r="A271" s="46" t="s">
        <v>2182</v>
      </c>
      <c r="B271" s="24" t="s">
        <v>1087</v>
      </c>
      <c r="C271" s="24" t="s">
        <v>1127</v>
      </c>
      <c r="D271" s="24" t="n">
        <v>5</v>
      </c>
      <c r="E271" s="24" t="s">
        <v>1920</v>
      </c>
    </row>
    <row r="272" customFormat="false" ht="15" hidden="false" customHeight="true" outlineLevel="0" collapsed="false">
      <c r="A272" s="46" t="s">
        <v>2183</v>
      </c>
      <c r="B272" s="24" t="s">
        <v>1103</v>
      </c>
      <c r="C272" s="24" t="s">
        <v>1087</v>
      </c>
      <c r="D272" s="24" t="n">
        <v>1</v>
      </c>
      <c r="E272" s="24" t="s">
        <v>1915</v>
      </c>
    </row>
    <row r="273" customFormat="false" ht="15" hidden="false" customHeight="true" outlineLevel="0" collapsed="false">
      <c r="A273" s="46" t="s">
        <v>2184</v>
      </c>
      <c r="B273" s="24" t="s">
        <v>1103</v>
      </c>
      <c r="C273" s="24" t="s">
        <v>1819</v>
      </c>
      <c r="D273" s="24" t="n">
        <v>2</v>
      </c>
      <c r="E273" s="24" t="s">
        <v>1915</v>
      </c>
    </row>
    <row r="274" customFormat="false" ht="15" hidden="false" customHeight="true" outlineLevel="0" collapsed="false">
      <c r="A274" s="46" t="s">
        <v>2185</v>
      </c>
      <c r="B274" s="24" t="s">
        <v>1103</v>
      </c>
      <c r="C274" s="24" t="s">
        <v>1114</v>
      </c>
      <c r="D274" s="24" t="n">
        <v>3</v>
      </c>
      <c r="E274" s="24" t="s">
        <v>1915</v>
      </c>
    </row>
    <row r="275" customFormat="false" ht="15" hidden="false" customHeight="true" outlineLevel="0" collapsed="false">
      <c r="A275" s="46" t="s">
        <v>2186</v>
      </c>
      <c r="B275" s="24" t="s">
        <v>1103</v>
      </c>
      <c r="C275" s="24" t="s">
        <v>1047</v>
      </c>
      <c r="D275" s="24" t="n">
        <v>4</v>
      </c>
      <c r="E275" s="24" t="s">
        <v>1920</v>
      </c>
    </row>
    <row r="276" customFormat="false" ht="15" hidden="false" customHeight="true" outlineLevel="0" collapsed="false">
      <c r="A276" s="46" t="s">
        <v>2187</v>
      </c>
      <c r="B276" s="24" t="s">
        <v>1114</v>
      </c>
      <c r="C276" s="24" t="s">
        <v>1819</v>
      </c>
      <c r="D276" s="24" t="n">
        <v>1</v>
      </c>
      <c r="E276" s="24" t="s">
        <v>1915</v>
      </c>
    </row>
    <row r="277" customFormat="false" ht="15" hidden="false" customHeight="true" outlineLevel="0" collapsed="false">
      <c r="A277" s="46" t="s">
        <v>2188</v>
      </c>
      <c r="B277" s="24" t="s">
        <v>1114</v>
      </c>
      <c r="C277" s="24" t="s">
        <v>1103</v>
      </c>
      <c r="D277" s="24" t="n">
        <v>2</v>
      </c>
      <c r="E277" s="24" t="s">
        <v>1915</v>
      </c>
    </row>
    <row r="278" customFormat="false" ht="15" hidden="false" customHeight="true" outlineLevel="0" collapsed="false">
      <c r="A278" s="46" t="s">
        <v>2189</v>
      </c>
      <c r="B278" s="24" t="s">
        <v>1114</v>
      </c>
      <c r="C278" s="24" t="s">
        <v>1087</v>
      </c>
      <c r="D278" s="24" t="n">
        <v>3</v>
      </c>
      <c r="E278" s="24" t="s">
        <v>1915</v>
      </c>
    </row>
    <row r="279" customFormat="false" ht="15" hidden="false" customHeight="true" outlineLevel="0" collapsed="false">
      <c r="A279" s="46" t="s">
        <v>2190</v>
      </c>
      <c r="B279" s="24" t="s">
        <v>1114</v>
      </c>
      <c r="C279" s="24" t="s">
        <v>1127</v>
      </c>
      <c r="D279" s="24" t="n">
        <v>4</v>
      </c>
      <c r="E279" s="24" t="s">
        <v>1920</v>
      </c>
    </row>
    <row r="280" customFormat="false" ht="15" hidden="false" customHeight="true" outlineLevel="0" collapsed="false">
      <c r="A280" s="46" t="s">
        <v>2191</v>
      </c>
      <c r="B280" s="24" t="s">
        <v>1114</v>
      </c>
      <c r="C280" s="24" t="s">
        <v>1047</v>
      </c>
      <c r="D280" s="24" t="n">
        <v>5</v>
      </c>
      <c r="E280" s="24" t="s">
        <v>1920</v>
      </c>
    </row>
    <row r="281" customFormat="false" ht="15" hidden="false" customHeight="true" outlineLevel="0" collapsed="false">
      <c r="A281" s="46" t="s">
        <v>2192</v>
      </c>
      <c r="B281" s="24" t="s">
        <v>1127</v>
      </c>
      <c r="C281" s="24" t="s">
        <v>1047</v>
      </c>
      <c r="D281" s="24" t="n">
        <v>1</v>
      </c>
      <c r="E281" s="24" t="s">
        <v>1915</v>
      </c>
    </row>
    <row r="282" customFormat="false" ht="15" hidden="false" customHeight="true" outlineLevel="0" collapsed="false">
      <c r="A282" s="46" t="s">
        <v>2193</v>
      </c>
      <c r="B282" s="24" t="s">
        <v>1127</v>
      </c>
      <c r="C282" s="24" t="s">
        <v>1140</v>
      </c>
      <c r="D282" s="24" t="n">
        <v>2</v>
      </c>
      <c r="E282" s="24" t="s">
        <v>1915</v>
      </c>
    </row>
    <row r="283" customFormat="false" ht="15" hidden="false" customHeight="true" outlineLevel="0" collapsed="false">
      <c r="A283" s="46" t="s">
        <v>2194</v>
      </c>
      <c r="B283" s="24" t="s">
        <v>1127</v>
      </c>
      <c r="C283" s="24" t="s">
        <v>1152</v>
      </c>
      <c r="D283" s="24" t="n">
        <v>3</v>
      </c>
      <c r="E283" s="24" t="s">
        <v>1915</v>
      </c>
    </row>
    <row r="284" customFormat="false" ht="15" hidden="false" customHeight="true" outlineLevel="0" collapsed="false">
      <c r="A284" s="46" t="s">
        <v>2195</v>
      </c>
      <c r="B284" s="24" t="s">
        <v>1127</v>
      </c>
      <c r="C284" s="24" t="s">
        <v>1181</v>
      </c>
      <c r="D284" s="24" t="n">
        <v>4</v>
      </c>
      <c r="E284" s="24" t="s">
        <v>1920</v>
      </c>
    </row>
    <row r="285" customFormat="false" ht="15" hidden="false" customHeight="true" outlineLevel="0" collapsed="false">
      <c r="A285" s="46" t="s">
        <v>2196</v>
      </c>
      <c r="B285" s="24" t="s">
        <v>1127</v>
      </c>
      <c r="C285" s="24" t="s">
        <v>1193</v>
      </c>
      <c r="D285" s="24" t="n">
        <v>5</v>
      </c>
      <c r="E285" s="24" t="s">
        <v>1915</v>
      </c>
    </row>
    <row r="286" customFormat="false" ht="15" hidden="false" customHeight="true" outlineLevel="0" collapsed="false">
      <c r="A286" s="46" t="s">
        <v>2197</v>
      </c>
      <c r="B286" s="24" t="s">
        <v>1140</v>
      </c>
      <c r="C286" s="24" t="s">
        <v>1047</v>
      </c>
      <c r="D286" s="24" t="n">
        <v>1</v>
      </c>
      <c r="E286" s="24" t="s">
        <v>1915</v>
      </c>
    </row>
    <row r="287" customFormat="false" ht="15" hidden="false" customHeight="true" outlineLevel="0" collapsed="false">
      <c r="A287" s="46" t="s">
        <v>2198</v>
      </c>
      <c r="B287" s="24" t="s">
        <v>1140</v>
      </c>
      <c r="C287" s="24" t="s">
        <v>1063</v>
      </c>
      <c r="D287" s="24" t="n">
        <v>2</v>
      </c>
      <c r="E287" s="24" t="s">
        <v>1920</v>
      </c>
    </row>
    <row r="288" customFormat="false" ht="15" hidden="false" customHeight="true" outlineLevel="0" collapsed="false">
      <c r="A288" s="46" t="s">
        <v>2199</v>
      </c>
      <c r="B288" s="24" t="s">
        <v>1140</v>
      </c>
      <c r="C288" s="24" t="s">
        <v>1076</v>
      </c>
      <c r="D288" s="24" t="n">
        <v>3</v>
      </c>
      <c r="E288" s="24" t="s">
        <v>1920</v>
      </c>
    </row>
    <row r="289" customFormat="false" ht="15" hidden="false" customHeight="true" outlineLevel="0" collapsed="false">
      <c r="A289" s="46" t="s">
        <v>2200</v>
      </c>
      <c r="B289" s="24" t="s">
        <v>1140</v>
      </c>
      <c r="C289" s="24" t="s">
        <v>1152</v>
      </c>
      <c r="D289" s="24" t="n">
        <v>4</v>
      </c>
      <c r="E289" s="24" t="s">
        <v>1915</v>
      </c>
    </row>
    <row r="290" customFormat="false" ht="15" hidden="false" customHeight="true" outlineLevel="0" collapsed="false">
      <c r="A290" s="46" t="s">
        <v>2201</v>
      </c>
      <c r="B290" s="24" t="s">
        <v>1140</v>
      </c>
      <c r="C290" s="24" t="s">
        <v>1193</v>
      </c>
      <c r="D290" s="24" t="n">
        <v>5</v>
      </c>
      <c r="E290" s="24" t="s">
        <v>1915</v>
      </c>
    </row>
    <row r="291" customFormat="false" ht="15" hidden="false" customHeight="true" outlineLevel="0" collapsed="false">
      <c r="A291" s="46" t="s">
        <v>2202</v>
      </c>
      <c r="B291" s="24" t="s">
        <v>1152</v>
      </c>
      <c r="C291" s="24" t="s">
        <v>1193</v>
      </c>
      <c r="D291" s="24" t="n">
        <v>1</v>
      </c>
      <c r="E291" s="24" t="s">
        <v>1915</v>
      </c>
    </row>
    <row r="292" customFormat="false" ht="15" hidden="false" customHeight="true" outlineLevel="0" collapsed="false">
      <c r="A292" s="46" t="s">
        <v>2203</v>
      </c>
      <c r="B292" s="24" t="s">
        <v>1152</v>
      </c>
      <c r="C292" s="24" t="s">
        <v>1047</v>
      </c>
      <c r="D292" s="24" t="n">
        <v>2</v>
      </c>
      <c r="E292" s="24" t="s">
        <v>1915</v>
      </c>
    </row>
    <row r="293" customFormat="false" ht="15" hidden="false" customHeight="true" outlineLevel="0" collapsed="false">
      <c r="A293" s="46" t="s">
        <v>2204</v>
      </c>
      <c r="B293" s="24" t="s">
        <v>1152</v>
      </c>
      <c r="C293" s="24" t="s">
        <v>1140</v>
      </c>
      <c r="D293" s="24" t="n">
        <v>3</v>
      </c>
      <c r="E293" s="24" t="s">
        <v>1915</v>
      </c>
    </row>
    <row r="294" customFormat="false" ht="15" hidden="false" customHeight="true" outlineLevel="0" collapsed="false">
      <c r="A294" s="46" t="s">
        <v>2205</v>
      </c>
      <c r="B294" s="24" t="s">
        <v>1152</v>
      </c>
      <c r="C294" s="24" t="s">
        <v>1076</v>
      </c>
      <c r="D294" s="24" t="n">
        <v>4</v>
      </c>
      <c r="E294" s="24" t="s">
        <v>1920</v>
      </c>
    </row>
    <row r="295" customFormat="false" ht="15" hidden="false" customHeight="true" outlineLevel="0" collapsed="false">
      <c r="A295" s="46" t="s">
        <v>2206</v>
      </c>
      <c r="B295" s="24" t="s">
        <v>1166</v>
      </c>
      <c r="C295" s="24" t="s">
        <v>1808</v>
      </c>
      <c r="D295" s="24" t="n">
        <v>1</v>
      </c>
      <c r="E295" s="24" t="s">
        <v>1915</v>
      </c>
    </row>
    <row r="296" customFormat="false" ht="15" hidden="false" customHeight="true" outlineLevel="0" collapsed="false">
      <c r="A296" s="46" t="s">
        <v>2207</v>
      </c>
      <c r="B296" s="24" t="s">
        <v>1166</v>
      </c>
      <c r="C296" s="24" t="s">
        <v>1181</v>
      </c>
      <c r="D296" s="24" t="n">
        <v>2</v>
      </c>
      <c r="E296" s="24" t="s">
        <v>1920</v>
      </c>
    </row>
    <row r="297" customFormat="false" ht="15" hidden="false" customHeight="true" outlineLevel="0" collapsed="false">
      <c r="A297" s="46" t="s">
        <v>2208</v>
      </c>
      <c r="B297" s="24" t="s">
        <v>1166</v>
      </c>
      <c r="C297" s="24" t="s">
        <v>1076</v>
      </c>
      <c r="D297" s="24" t="n">
        <v>3</v>
      </c>
      <c r="E297" s="24" t="s">
        <v>1920</v>
      </c>
    </row>
    <row r="298" customFormat="false" ht="15" hidden="false" customHeight="true" outlineLevel="0" collapsed="false">
      <c r="A298" s="46" t="s">
        <v>2209</v>
      </c>
      <c r="B298" s="24" t="s">
        <v>1166</v>
      </c>
      <c r="C298" s="24" t="s">
        <v>1460</v>
      </c>
      <c r="D298" s="24" t="n">
        <v>4</v>
      </c>
      <c r="E298" s="24" t="s">
        <v>1920</v>
      </c>
    </row>
    <row r="299" customFormat="false" ht="15" hidden="false" customHeight="true" outlineLevel="0" collapsed="false">
      <c r="A299" s="46" t="s">
        <v>2210</v>
      </c>
      <c r="B299" s="24" t="s">
        <v>1181</v>
      </c>
      <c r="C299" s="24" t="s">
        <v>1076</v>
      </c>
      <c r="D299" s="24" t="n">
        <v>1</v>
      </c>
      <c r="E299" s="24" t="s">
        <v>1915</v>
      </c>
    </row>
    <row r="300" customFormat="false" ht="15" hidden="false" customHeight="true" outlineLevel="0" collapsed="false">
      <c r="A300" s="46" t="s">
        <v>2211</v>
      </c>
      <c r="B300" s="24" t="s">
        <v>1181</v>
      </c>
      <c r="C300" s="24" t="s">
        <v>1063</v>
      </c>
      <c r="D300" s="24" t="n">
        <v>2</v>
      </c>
      <c r="E300" s="24" t="s">
        <v>1915</v>
      </c>
    </row>
    <row r="301" customFormat="false" ht="15" hidden="false" customHeight="true" outlineLevel="0" collapsed="false">
      <c r="A301" s="46" t="s">
        <v>2212</v>
      </c>
      <c r="B301" s="24" t="s">
        <v>1181</v>
      </c>
      <c r="C301" s="24" t="s">
        <v>1140</v>
      </c>
      <c r="D301" s="24" t="n">
        <v>3</v>
      </c>
      <c r="E301" s="24" t="s">
        <v>1920</v>
      </c>
    </row>
    <row r="302" customFormat="false" ht="15" hidden="false" customHeight="true" outlineLevel="0" collapsed="false">
      <c r="A302" s="46" t="s">
        <v>2213</v>
      </c>
      <c r="B302" s="24" t="s">
        <v>1181</v>
      </c>
      <c r="C302" s="24" t="s">
        <v>1152</v>
      </c>
      <c r="D302" s="24" t="n">
        <v>4</v>
      </c>
      <c r="E302" s="24" t="s">
        <v>1920</v>
      </c>
    </row>
    <row r="303" customFormat="false" ht="15" hidden="false" customHeight="true" outlineLevel="0" collapsed="false">
      <c r="A303" s="46" t="s">
        <v>2214</v>
      </c>
      <c r="B303" s="24" t="s">
        <v>1193</v>
      </c>
      <c r="C303" s="24" t="s">
        <v>1152</v>
      </c>
      <c r="D303" s="24" t="n">
        <v>1</v>
      </c>
      <c r="E303" s="24" t="s">
        <v>1915</v>
      </c>
    </row>
    <row r="304" customFormat="false" ht="15" hidden="false" customHeight="true" outlineLevel="0" collapsed="false">
      <c r="A304" s="46" t="s">
        <v>2215</v>
      </c>
      <c r="B304" s="24" t="s">
        <v>1193</v>
      </c>
      <c r="C304" s="24" t="s">
        <v>1076</v>
      </c>
      <c r="D304" s="24" t="n">
        <v>2</v>
      </c>
      <c r="E304" s="24" t="s">
        <v>1920</v>
      </c>
    </row>
    <row r="305" customFormat="false" ht="15" hidden="false" customHeight="true" outlineLevel="0" collapsed="false">
      <c r="A305" s="46" t="s">
        <v>2216</v>
      </c>
      <c r="B305" s="24" t="s">
        <v>1193</v>
      </c>
      <c r="C305" s="24" t="s">
        <v>1181</v>
      </c>
      <c r="D305" s="24" t="n">
        <v>3</v>
      </c>
      <c r="E305" s="24" t="s">
        <v>1920</v>
      </c>
    </row>
    <row r="306" customFormat="false" ht="15" hidden="false" customHeight="true" outlineLevel="0" collapsed="false">
      <c r="A306" s="46" t="s">
        <v>2217</v>
      </c>
      <c r="B306" s="24" t="s">
        <v>1193</v>
      </c>
      <c r="C306" s="24" t="s">
        <v>1047</v>
      </c>
      <c r="D306" s="24" t="n">
        <v>4</v>
      </c>
      <c r="E306" s="24" t="s">
        <v>1915</v>
      </c>
    </row>
    <row r="307" customFormat="false" ht="15" hidden="false" customHeight="true" outlineLevel="0" collapsed="false">
      <c r="A307" s="46" t="s">
        <v>2218</v>
      </c>
      <c r="B307" s="24" t="s">
        <v>1205</v>
      </c>
      <c r="C307" s="24" t="s">
        <v>1245</v>
      </c>
      <c r="D307" s="24" t="n">
        <v>1</v>
      </c>
      <c r="E307" s="24" t="s">
        <v>1915</v>
      </c>
    </row>
    <row r="308" customFormat="false" ht="15" hidden="false" customHeight="true" outlineLevel="0" collapsed="false">
      <c r="A308" s="46" t="s">
        <v>2219</v>
      </c>
      <c r="B308" s="24" t="s">
        <v>1205</v>
      </c>
      <c r="C308" s="24" t="s">
        <v>1222</v>
      </c>
      <c r="D308" s="24" t="n">
        <v>2</v>
      </c>
      <c r="E308" s="24" t="s">
        <v>1915</v>
      </c>
    </row>
    <row r="309" customFormat="false" ht="15" hidden="false" customHeight="true" outlineLevel="0" collapsed="false">
      <c r="A309" s="46" t="s">
        <v>2220</v>
      </c>
      <c r="B309" s="24" t="s">
        <v>1205</v>
      </c>
      <c r="C309" s="24" t="s">
        <v>1234</v>
      </c>
      <c r="D309" s="24" t="n">
        <v>3</v>
      </c>
      <c r="E309" s="24" t="s">
        <v>1915</v>
      </c>
    </row>
    <row r="310" customFormat="false" ht="15" hidden="false" customHeight="true" outlineLevel="0" collapsed="false">
      <c r="A310" s="46" t="s">
        <v>2221</v>
      </c>
      <c r="B310" s="24" t="s">
        <v>1205</v>
      </c>
      <c r="C310" s="24" t="s">
        <v>1267</v>
      </c>
      <c r="D310" s="24" t="n">
        <v>4</v>
      </c>
      <c r="E310" s="24" t="s">
        <v>1915</v>
      </c>
    </row>
    <row r="311" customFormat="false" ht="15" hidden="false" customHeight="true" outlineLevel="0" collapsed="false">
      <c r="A311" s="46" t="s">
        <v>2222</v>
      </c>
      <c r="B311" s="24" t="s">
        <v>1205</v>
      </c>
      <c r="C311" s="24" t="s">
        <v>1255</v>
      </c>
      <c r="D311" s="24" t="n">
        <v>5</v>
      </c>
      <c r="E311" s="24" t="s">
        <v>1920</v>
      </c>
    </row>
    <row r="312" customFormat="false" ht="15" hidden="false" customHeight="true" outlineLevel="0" collapsed="false">
      <c r="A312" s="46" t="s">
        <v>2223</v>
      </c>
      <c r="B312" s="24" t="s">
        <v>1205</v>
      </c>
      <c r="C312" s="24" t="s">
        <v>1278</v>
      </c>
      <c r="D312" s="24" t="n">
        <v>6</v>
      </c>
      <c r="E312" s="24" t="s">
        <v>1920</v>
      </c>
    </row>
    <row r="313" customFormat="false" ht="15" hidden="false" customHeight="true" outlineLevel="0" collapsed="false">
      <c r="A313" s="46" t="s">
        <v>2224</v>
      </c>
      <c r="B313" s="24" t="s">
        <v>1222</v>
      </c>
      <c r="C313" s="24" t="s">
        <v>1205</v>
      </c>
      <c r="D313" s="24" t="n">
        <v>1</v>
      </c>
      <c r="E313" s="24" t="s">
        <v>1915</v>
      </c>
    </row>
    <row r="314" customFormat="false" ht="15" hidden="false" customHeight="true" outlineLevel="0" collapsed="false">
      <c r="A314" s="46" t="s">
        <v>2225</v>
      </c>
      <c r="B314" s="24" t="s">
        <v>1222</v>
      </c>
      <c r="C314" s="24" t="s">
        <v>1245</v>
      </c>
      <c r="D314" s="24" t="n">
        <v>2</v>
      </c>
      <c r="E314" s="24" t="s">
        <v>1915</v>
      </c>
    </row>
    <row r="315" customFormat="false" ht="15" hidden="false" customHeight="true" outlineLevel="0" collapsed="false">
      <c r="A315" s="46" t="s">
        <v>2226</v>
      </c>
      <c r="B315" s="24" t="s">
        <v>1222</v>
      </c>
      <c r="C315" s="24" t="s">
        <v>1234</v>
      </c>
      <c r="D315" s="24" t="n">
        <v>3</v>
      </c>
      <c r="E315" s="24" t="s">
        <v>1915</v>
      </c>
    </row>
    <row r="316" customFormat="false" ht="15" hidden="false" customHeight="true" outlineLevel="0" collapsed="false">
      <c r="A316" s="46" t="s">
        <v>2227</v>
      </c>
      <c r="B316" s="24" t="s">
        <v>1222</v>
      </c>
      <c r="C316" s="24" t="s">
        <v>1267</v>
      </c>
      <c r="D316" s="24" t="n">
        <v>4</v>
      </c>
      <c r="E316" s="24" t="s">
        <v>1915</v>
      </c>
    </row>
    <row r="317" customFormat="false" ht="15" hidden="false" customHeight="true" outlineLevel="0" collapsed="false">
      <c r="A317" s="46" t="s">
        <v>2228</v>
      </c>
      <c r="B317" s="24" t="s">
        <v>1234</v>
      </c>
      <c r="C317" s="24" t="s">
        <v>1205</v>
      </c>
      <c r="D317" s="24" t="n">
        <v>1</v>
      </c>
      <c r="E317" s="24" t="s">
        <v>1915</v>
      </c>
    </row>
    <row r="318" customFormat="false" ht="15" hidden="false" customHeight="true" outlineLevel="0" collapsed="false">
      <c r="A318" s="46" t="s">
        <v>2229</v>
      </c>
      <c r="B318" s="24" t="s">
        <v>1234</v>
      </c>
      <c r="C318" s="24" t="s">
        <v>1245</v>
      </c>
      <c r="D318" s="24" t="n">
        <v>2</v>
      </c>
      <c r="E318" s="24" t="s">
        <v>1915</v>
      </c>
    </row>
    <row r="319" customFormat="false" ht="15" hidden="false" customHeight="true" outlineLevel="0" collapsed="false">
      <c r="A319" s="46" t="s">
        <v>2230</v>
      </c>
      <c r="B319" s="24" t="s">
        <v>1234</v>
      </c>
      <c r="C319" s="24" t="s">
        <v>1222</v>
      </c>
      <c r="D319" s="24" t="n">
        <v>3</v>
      </c>
      <c r="E319" s="24" t="s">
        <v>1915</v>
      </c>
    </row>
    <row r="320" customFormat="false" ht="15" hidden="false" customHeight="true" outlineLevel="0" collapsed="false">
      <c r="A320" s="46" t="s">
        <v>2231</v>
      </c>
      <c r="B320" s="24" t="s">
        <v>1234</v>
      </c>
      <c r="C320" s="24" t="s">
        <v>1267</v>
      </c>
      <c r="D320" s="24" t="n">
        <v>4</v>
      </c>
      <c r="E320" s="24" t="s">
        <v>1915</v>
      </c>
    </row>
    <row r="321" customFormat="false" ht="15" hidden="false" customHeight="true" outlineLevel="0" collapsed="false">
      <c r="A321" s="46" t="s">
        <v>2232</v>
      </c>
      <c r="B321" s="24" t="s">
        <v>1245</v>
      </c>
      <c r="C321" s="24" t="s">
        <v>1205</v>
      </c>
      <c r="D321" s="24" t="n">
        <v>1</v>
      </c>
      <c r="E321" s="24" t="s">
        <v>1915</v>
      </c>
    </row>
    <row r="322" customFormat="false" ht="15" hidden="false" customHeight="true" outlineLevel="0" collapsed="false">
      <c r="A322" s="46" t="s">
        <v>2233</v>
      </c>
      <c r="B322" s="24" t="s">
        <v>1245</v>
      </c>
      <c r="C322" s="24" t="s">
        <v>1222</v>
      </c>
      <c r="D322" s="24" t="n">
        <v>2</v>
      </c>
      <c r="E322" s="24" t="s">
        <v>1915</v>
      </c>
    </row>
    <row r="323" customFormat="false" ht="15" hidden="false" customHeight="true" outlineLevel="0" collapsed="false">
      <c r="A323" s="46" t="s">
        <v>2234</v>
      </c>
      <c r="B323" s="24" t="s">
        <v>1245</v>
      </c>
      <c r="C323" s="24" t="s">
        <v>1234</v>
      </c>
      <c r="D323" s="24" t="n">
        <v>3</v>
      </c>
      <c r="E323" s="24" t="s">
        <v>1915</v>
      </c>
    </row>
    <row r="324" customFormat="false" ht="15" hidden="false" customHeight="true" outlineLevel="0" collapsed="false">
      <c r="A324" s="46" t="s">
        <v>2235</v>
      </c>
      <c r="B324" s="24" t="s">
        <v>1245</v>
      </c>
      <c r="C324" s="24" t="s">
        <v>1267</v>
      </c>
      <c r="D324" s="24" t="n">
        <v>4</v>
      </c>
      <c r="E324" s="24" t="s">
        <v>1915</v>
      </c>
    </row>
    <row r="325" customFormat="false" ht="15" hidden="false" customHeight="true" outlineLevel="0" collapsed="false">
      <c r="A325" s="46" t="s">
        <v>2236</v>
      </c>
      <c r="B325" s="24" t="s">
        <v>1255</v>
      </c>
      <c r="C325" s="24" t="s">
        <v>1278</v>
      </c>
      <c r="D325" s="24" t="n">
        <v>1</v>
      </c>
      <c r="E325" s="24" t="s">
        <v>1915</v>
      </c>
    </row>
    <row r="326" customFormat="false" ht="15" hidden="false" customHeight="true" outlineLevel="0" collapsed="false">
      <c r="A326" s="46" t="s">
        <v>2237</v>
      </c>
      <c r="B326" s="24" t="s">
        <v>1255</v>
      </c>
      <c r="C326" s="24" t="s">
        <v>1760</v>
      </c>
      <c r="D326" s="24" t="n">
        <v>2</v>
      </c>
      <c r="E326" s="24" t="s">
        <v>1920</v>
      </c>
    </row>
    <row r="327" customFormat="false" ht="15" hidden="false" customHeight="true" outlineLevel="0" collapsed="false">
      <c r="A327" s="46" t="s">
        <v>2238</v>
      </c>
      <c r="B327" s="24" t="s">
        <v>1255</v>
      </c>
      <c r="C327" s="24" t="s">
        <v>1205</v>
      </c>
      <c r="D327" s="24" t="n">
        <v>3</v>
      </c>
      <c r="E327" s="24" t="s">
        <v>1920</v>
      </c>
    </row>
    <row r="328" customFormat="false" ht="15" hidden="false" customHeight="true" outlineLevel="0" collapsed="false">
      <c r="A328" s="46" t="s">
        <v>2239</v>
      </c>
      <c r="B328" s="24" t="s">
        <v>1255</v>
      </c>
      <c r="C328" s="24" t="s">
        <v>1245</v>
      </c>
      <c r="D328" s="24" t="n">
        <v>4</v>
      </c>
      <c r="E328" s="24" t="s">
        <v>1920</v>
      </c>
    </row>
    <row r="329" customFormat="false" ht="15" hidden="false" customHeight="true" outlineLevel="0" collapsed="false">
      <c r="A329" s="46" t="s">
        <v>2240</v>
      </c>
      <c r="B329" s="24" t="s">
        <v>1255</v>
      </c>
      <c r="C329" s="24" t="s">
        <v>1234</v>
      </c>
      <c r="D329" s="24" t="n">
        <v>5</v>
      </c>
      <c r="E329" s="24" t="s">
        <v>1920</v>
      </c>
    </row>
    <row r="330" customFormat="false" ht="15" hidden="false" customHeight="true" outlineLevel="0" collapsed="false">
      <c r="A330" s="46" t="s">
        <v>2241</v>
      </c>
      <c r="B330" s="24" t="s">
        <v>1267</v>
      </c>
      <c r="C330" s="24" t="s">
        <v>1234</v>
      </c>
      <c r="D330" s="24" t="n">
        <v>1</v>
      </c>
      <c r="E330" s="24" t="s">
        <v>1915</v>
      </c>
    </row>
    <row r="331" customFormat="false" ht="15" hidden="false" customHeight="true" outlineLevel="0" collapsed="false">
      <c r="A331" s="46" t="s">
        <v>2242</v>
      </c>
      <c r="B331" s="24" t="s">
        <v>1267</v>
      </c>
      <c r="C331" s="24" t="s">
        <v>1205</v>
      </c>
      <c r="D331" s="24" t="n">
        <v>2</v>
      </c>
      <c r="E331" s="24" t="s">
        <v>1915</v>
      </c>
    </row>
    <row r="332" customFormat="false" ht="15" hidden="false" customHeight="true" outlineLevel="0" collapsed="false">
      <c r="A332" s="46" t="s">
        <v>2243</v>
      </c>
      <c r="B332" s="24" t="s">
        <v>1267</v>
      </c>
      <c r="C332" s="24" t="s">
        <v>1245</v>
      </c>
      <c r="D332" s="24" t="n">
        <v>3</v>
      </c>
      <c r="E332" s="24" t="s">
        <v>1915</v>
      </c>
    </row>
    <row r="333" customFormat="false" ht="15" hidden="false" customHeight="true" outlineLevel="0" collapsed="false">
      <c r="A333" s="46" t="s">
        <v>2244</v>
      </c>
      <c r="B333" s="24" t="s">
        <v>1267</v>
      </c>
      <c r="C333" s="24" t="s">
        <v>1278</v>
      </c>
      <c r="D333" s="24" t="n">
        <v>4</v>
      </c>
      <c r="E333" s="24" t="s">
        <v>1920</v>
      </c>
    </row>
    <row r="334" customFormat="false" ht="15" hidden="false" customHeight="true" outlineLevel="0" collapsed="false">
      <c r="A334" s="46" t="s">
        <v>2245</v>
      </c>
      <c r="B334" s="24" t="s">
        <v>1278</v>
      </c>
      <c r="C334" s="24" t="s">
        <v>1760</v>
      </c>
      <c r="D334" s="24" t="n">
        <v>1</v>
      </c>
      <c r="E334" s="24" t="s">
        <v>1920</v>
      </c>
    </row>
    <row r="335" customFormat="false" ht="15" hidden="false" customHeight="true" outlineLevel="0" collapsed="false">
      <c r="A335" s="46" t="s">
        <v>2246</v>
      </c>
      <c r="B335" s="24" t="s">
        <v>1278</v>
      </c>
      <c r="C335" s="24" t="s">
        <v>1255</v>
      </c>
      <c r="D335" s="24" t="n">
        <v>2</v>
      </c>
      <c r="E335" s="24" t="s">
        <v>1915</v>
      </c>
    </row>
    <row r="336" customFormat="false" ht="15" hidden="false" customHeight="true" outlineLevel="0" collapsed="false">
      <c r="A336" s="46" t="s">
        <v>2247</v>
      </c>
      <c r="B336" s="24" t="s">
        <v>1278</v>
      </c>
      <c r="C336" s="24" t="s">
        <v>1267</v>
      </c>
      <c r="D336" s="24" t="n">
        <v>3</v>
      </c>
      <c r="E336" s="24" t="s">
        <v>1920</v>
      </c>
    </row>
    <row r="337" customFormat="false" ht="15" hidden="false" customHeight="true" outlineLevel="0" collapsed="false">
      <c r="A337" s="46" t="s">
        <v>2248</v>
      </c>
      <c r="B337" s="24" t="s">
        <v>1278</v>
      </c>
      <c r="C337" s="24" t="s">
        <v>1234</v>
      </c>
      <c r="D337" s="24" t="n">
        <v>4</v>
      </c>
      <c r="E337" s="24" t="s">
        <v>1920</v>
      </c>
    </row>
    <row r="338" customFormat="false" ht="15" hidden="false" customHeight="true" outlineLevel="0" collapsed="false">
      <c r="A338" s="46" t="s">
        <v>2249</v>
      </c>
      <c r="B338" s="24" t="s">
        <v>1278</v>
      </c>
      <c r="C338" s="24" t="s">
        <v>1205</v>
      </c>
      <c r="D338" s="24" t="n">
        <v>5</v>
      </c>
      <c r="E338" s="24" t="s">
        <v>1920</v>
      </c>
    </row>
    <row r="339" customFormat="false" ht="15" hidden="false" customHeight="true" outlineLevel="0" collapsed="false">
      <c r="A339" s="46" t="s">
        <v>2250</v>
      </c>
      <c r="B339" s="24" t="s">
        <v>1288</v>
      </c>
      <c r="C339" s="24" t="s">
        <v>1327</v>
      </c>
      <c r="D339" s="24" t="n">
        <v>1</v>
      </c>
      <c r="E339" s="24" t="s">
        <v>1920</v>
      </c>
    </row>
    <row r="340" customFormat="false" ht="15" hidden="false" customHeight="true" outlineLevel="0" collapsed="false">
      <c r="A340" s="46" t="s">
        <v>2251</v>
      </c>
      <c r="B340" s="24" t="s">
        <v>1288</v>
      </c>
      <c r="C340" s="24" t="s">
        <v>1315</v>
      </c>
      <c r="D340" s="24" t="n">
        <v>2</v>
      </c>
      <c r="E340" s="24" t="s">
        <v>1920</v>
      </c>
    </row>
    <row r="341" customFormat="false" ht="15" hidden="false" customHeight="true" outlineLevel="0" collapsed="false">
      <c r="A341" s="46" t="s">
        <v>2252</v>
      </c>
      <c r="B341" s="24" t="s">
        <v>1288</v>
      </c>
      <c r="C341" s="24" t="s">
        <v>1302</v>
      </c>
      <c r="D341" s="24" t="n">
        <v>3</v>
      </c>
      <c r="E341" s="24" t="s">
        <v>1920</v>
      </c>
    </row>
    <row r="342" customFormat="false" ht="15" hidden="false" customHeight="true" outlineLevel="0" collapsed="false">
      <c r="A342" s="46" t="s">
        <v>2253</v>
      </c>
      <c r="B342" s="24" t="s">
        <v>1288</v>
      </c>
      <c r="C342" s="24" t="s">
        <v>1352</v>
      </c>
      <c r="D342" s="24" t="n">
        <v>4</v>
      </c>
      <c r="E342" s="24" t="s">
        <v>1915</v>
      </c>
    </row>
    <row r="343" customFormat="false" ht="15" hidden="false" customHeight="true" outlineLevel="0" collapsed="false">
      <c r="A343" s="46" t="s">
        <v>2254</v>
      </c>
      <c r="B343" s="24" t="s">
        <v>1288</v>
      </c>
      <c r="C343" s="24" t="s">
        <v>1340</v>
      </c>
      <c r="D343" s="24" t="n">
        <v>5</v>
      </c>
      <c r="E343" s="24" t="s">
        <v>1915</v>
      </c>
    </row>
    <row r="344" customFormat="false" ht="15" hidden="false" customHeight="true" outlineLevel="0" collapsed="false">
      <c r="A344" s="46" t="s">
        <v>2255</v>
      </c>
      <c r="B344" s="24" t="s">
        <v>1288</v>
      </c>
      <c r="C344" s="24" t="s">
        <v>1364</v>
      </c>
      <c r="D344" s="24" t="n">
        <v>6</v>
      </c>
      <c r="E344" s="24" t="s">
        <v>1920</v>
      </c>
    </row>
    <row r="345" customFormat="false" ht="15" hidden="false" customHeight="true" outlineLevel="0" collapsed="false">
      <c r="A345" s="46" t="s">
        <v>2256</v>
      </c>
      <c r="B345" s="24" t="s">
        <v>1302</v>
      </c>
      <c r="C345" s="24" t="s">
        <v>1327</v>
      </c>
      <c r="D345" s="24" t="n">
        <v>1</v>
      </c>
      <c r="E345" s="24" t="s">
        <v>1915</v>
      </c>
    </row>
    <row r="346" customFormat="false" ht="15" hidden="false" customHeight="true" outlineLevel="0" collapsed="false">
      <c r="A346" s="46" t="s">
        <v>2257</v>
      </c>
      <c r="B346" s="24" t="s">
        <v>1302</v>
      </c>
      <c r="C346" s="24" t="s">
        <v>1315</v>
      </c>
      <c r="D346" s="24" t="n">
        <v>2</v>
      </c>
      <c r="E346" s="24" t="s">
        <v>1915</v>
      </c>
    </row>
    <row r="347" customFormat="false" ht="15" hidden="false" customHeight="true" outlineLevel="0" collapsed="false">
      <c r="A347" s="46" t="s">
        <v>2258</v>
      </c>
      <c r="B347" s="24" t="s">
        <v>1302</v>
      </c>
      <c r="C347" s="24" t="s">
        <v>1364</v>
      </c>
      <c r="D347" s="24" t="n">
        <v>3</v>
      </c>
      <c r="E347" s="24" t="s">
        <v>1915</v>
      </c>
    </row>
    <row r="348" customFormat="false" ht="15" hidden="false" customHeight="true" outlineLevel="0" collapsed="false">
      <c r="A348" s="46" t="s">
        <v>2259</v>
      </c>
      <c r="B348" s="24" t="s">
        <v>1302</v>
      </c>
      <c r="C348" s="24" t="s">
        <v>1288</v>
      </c>
      <c r="D348" s="24" t="n">
        <v>4</v>
      </c>
      <c r="E348" s="24" t="s">
        <v>1920</v>
      </c>
    </row>
    <row r="349" customFormat="false" ht="15" hidden="false" customHeight="true" outlineLevel="0" collapsed="false">
      <c r="A349" s="46" t="s">
        <v>2260</v>
      </c>
      <c r="B349" s="24" t="s">
        <v>1302</v>
      </c>
      <c r="C349" s="24" t="s">
        <v>1352</v>
      </c>
      <c r="D349" s="24" t="n">
        <v>5</v>
      </c>
      <c r="E349" s="24" t="s">
        <v>1920</v>
      </c>
    </row>
    <row r="350" customFormat="false" ht="15" hidden="false" customHeight="true" outlineLevel="0" collapsed="false">
      <c r="A350" s="46" t="s">
        <v>2261</v>
      </c>
      <c r="B350" s="24" t="s">
        <v>1315</v>
      </c>
      <c r="C350" s="24" t="s">
        <v>1364</v>
      </c>
      <c r="D350" s="24" t="n">
        <v>1</v>
      </c>
      <c r="E350" s="24" t="s">
        <v>1915</v>
      </c>
    </row>
    <row r="351" customFormat="false" ht="15" hidden="false" customHeight="true" outlineLevel="0" collapsed="false">
      <c r="A351" s="46" t="s">
        <v>2262</v>
      </c>
      <c r="B351" s="24" t="s">
        <v>1315</v>
      </c>
      <c r="C351" s="24" t="s">
        <v>1302</v>
      </c>
      <c r="D351" s="24" t="n">
        <v>2</v>
      </c>
      <c r="E351" s="24" t="s">
        <v>1915</v>
      </c>
    </row>
    <row r="352" customFormat="false" ht="15" hidden="false" customHeight="true" outlineLevel="0" collapsed="false">
      <c r="A352" s="46" t="s">
        <v>2263</v>
      </c>
      <c r="B352" s="24" t="s">
        <v>1315</v>
      </c>
      <c r="C352" s="24" t="s">
        <v>1327</v>
      </c>
      <c r="D352" s="24" t="n">
        <v>3</v>
      </c>
      <c r="E352" s="24" t="s">
        <v>1915</v>
      </c>
    </row>
    <row r="353" customFormat="false" ht="15" hidden="false" customHeight="true" outlineLevel="0" collapsed="false">
      <c r="A353" s="46" t="s">
        <v>2264</v>
      </c>
      <c r="B353" s="24" t="s">
        <v>1315</v>
      </c>
      <c r="C353" s="24" t="s">
        <v>1352</v>
      </c>
      <c r="D353" s="24" t="n">
        <v>4</v>
      </c>
      <c r="E353" s="24" t="s">
        <v>1920</v>
      </c>
    </row>
    <row r="354" customFormat="false" ht="15" hidden="false" customHeight="true" outlineLevel="0" collapsed="false">
      <c r="A354" s="46" t="s">
        <v>2265</v>
      </c>
      <c r="B354" s="24" t="s">
        <v>1315</v>
      </c>
      <c r="C354" s="24" t="s">
        <v>1340</v>
      </c>
      <c r="D354" s="24" t="n">
        <v>5</v>
      </c>
      <c r="E354" s="24" t="s">
        <v>1920</v>
      </c>
    </row>
    <row r="355" customFormat="false" ht="15" hidden="false" customHeight="true" outlineLevel="0" collapsed="false">
      <c r="A355" s="46" t="s">
        <v>2266</v>
      </c>
      <c r="B355" s="24" t="s">
        <v>1327</v>
      </c>
      <c r="C355" s="24" t="s">
        <v>1302</v>
      </c>
      <c r="D355" s="24" t="n">
        <v>1</v>
      </c>
      <c r="E355" s="24" t="s">
        <v>1915</v>
      </c>
    </row>
    <row r="356" customFormat="false" ht="15" hidden="false" customHeight="true" outlineLevel="0" collapsed="false">
      <c r="A356" s="46" t="s">
        <v>2267</v>
      </c>
      <c r="B356" s="24" t="s">
        <v>1327</v>
      </c>
      <c r="C356" s="24" t="s">
        <v>1315</v>
      </c>
      <c r="D356" s="24" t="n">
        <v>2</v>
      </c>
      <c r="E356" s="24" t="s">
        <v>1915</v>
      </c>
    </row>
    <row r="357" customFormat="false" ht="15" hidden="false" customHeight="true" outlineLevel="0" collapsed="false">
      <c r="A357" s="46" t="s">
        <v>2268</v>
      </c>
      <c r="B357" s="24" t="s">
        <v>1327</v>
      </c>
      <c r="C357" s="24" t="s">
        <v>1364</v>
      </c>
      <c r="D357" s="24" t="n">
        <v>3</v>
      </c>
      <c r="E357" s="24" t="s">
        <v>1915</v>
      </c>
    </row>
    <row r="358" customFormat="false" ht="15" hidden="false" customHeight="true" outlineLevel="0" collapsed="false">
      <c r="A358" s="46" t="s">
        <v>2269</v>
      </c>
      <c r="B358" s="24" t="s">
        <v>1327</v>
      </c>
      <c r="C358" s="24" t="s">
        <v>1288</v>
      </c>
      <c r="D358" s="24" t="n">
        <v>4</v>
      </c>
      <c r="E358" s="24" t="s">
        <v>1920</v>
      </c>
    </row>
    <row r="359" customFormat="false" ht="15" hidden="false" customHeight="true" outlineLevel="0" collapsed="false">
      <c r="A359" s="46" t="s">
        <v>2270</v>
      </c>
      <c r="B359" s="24" t="s">
        <v>1327</v>
      </c>
      <c r="C359" s="24" t="s">
        <v>1352</v>
      </c>
      <c r="D359" s="24" t="n">
        <v>5</v>
      </c>
      <c r="E359" s="24" t="s">
        <v>1920</v>
      </c>
    </row>
    <row r="360" customFormat="false" ht="15" hidden="false" customHeight="true" outlineLevel="0" collapsed="false">
      <c r="A360" s="46" t="s">
        <v>2271</v>
      </c>
      <c r="B360" s="24" t="s">
        <v>1340</v>
      </c>
      <c r="C360" s="24" t="s">
        <v>1352</v>
      </c>
      <c r="D360" s="24" t="n">
        <v>1</v>
      </c>
      <c r="E360" s="24" t="s">
        <v>1915</v>
      </c>
    </row>
    <row r="361" customFormat="false" ht="15" hidden="false" customHeight="true" outlineLevel="0" collapsed="false">
      <c r="A361" s="46" t="s">
        <v>2272</v>
      </c>
      <c r="B361" s="24" t="s">
        <v>1340</v>
      </c>
      <c r="C361" s="24" t="s">
        <v>1315</v>
      </c>
      <c r="D361" s="24" t="n">
        <v>2</v>
      </c>
      <c r="E361" s="24" t="s">
        <v>1920</v>
      </c>
    </row>
    <row r="362" customFormat="false" ht="15" hidden="false" customHeight="true" outlineLevel="0" collapsed="false">
      <c r="A362" s="46" t="s">
        <v>2273</v>
      </c>
      <c r="B362" s="24" t="s">
        <v>1340</v>
      </c>
      <c r="C362" s="24" t="s">
        <v>1364</v>
      </c>
      <c r="D362" s="24" t="n">
        <v>3</v>
      </c>
      <c r="E362" s="24" t="s">
        <v>1920</v>
      </c>
    </row>
    <row r="363" customFormat="false" ht="15" hidden="false" customHeight="true" outlineLevel="0" collapsed="false">
      <c r="A363" s="46" t="s">
        <v>2274</v>
      </c>
      <c r="B363" s="24" t="s">
        <v>1340</v>
      </c>
      <c r="C363" s="24" t="s">
        <v>1288</v>
      </c>
      <c r="D363" s="24" t="n">
        <v>4</v>
      </c>
      <c r="E363" s="24" t="s">
        <v>1915</v>
      </c>
    </row>
    <row r="364" customFormat="false" ht="15" hidden="false" customHeight="true" outlineLevel="0" collapsed="false">
      <c r="A364" s="46" t="s">
        <v>2275</v>
      </c>
      <c r="B364" s="24" t="s">
        <v>1352</v>
      </c>
      <c r="C364" s="24" t="s">
        <v>1340</v>
      </c>
      <c r="D364" s="24" t="n">
        <v>1</v>
      </c>
      <c r="E364" s="24" t="s">
        <v>1915</v>
      </c>
    </row>
    <row r="365" customFormat="false" ht="15" hidden="false" customHeight="true" outlineLevel="0" collapsed="false">
      <c r="A365" s="46" t="s">
        <v>2276</v>
      </c>
      <c r="B365" s="24" t="s">
        <v>1352</v>
      </c>
      <c r="C365" s="24" t="s">
        <v>1364</v>
      </c>
      <c r="D365" s="24" t="n">
        <v>2</v>
      </c>
      <c r="E365" s="24" t="s">
        <v>1920</v>
      </c>
    </row>
    <row r="366" customFormat="false" ht="15" hidden="false" customHeight="true" outlineLevel="0" collapsed="false">
      <c r="A366" s="46" t="s">
        <v>2277</v>
      </c>
      <c r="B366" s="24" t="s">
        <v>1352</v>
      </c>
      <c r="C366" s="24" t="s">
        <v>1315</v>
      </c>
      <c r="D366" s="24" t="n">
        <v>3</v>
      </c>
      <c r="E366" s="24" t="s">
        <v>1920</v>
      </c>
    </row>
    <row r="367" customFormat="false" ht="15" hidden="false" customHeight="true" outlineLevel="0" collapsed="false">
      <c r="A367" s="46" t="s">
        <v>2278</v>
      </c>
      <c r="B367" s="24" t="s">
        <v>1352</v>
      </c>
      <c r="C367" s="24" t="s">
        <v>1288</v>
      </c>
      <c r="D367" s="24" t="n">
        <v>4</v>
      </c>
      <c r="E367" s="24" t="s">
        <v>1915</v>
      </c>
    </row>
    <row r="368" customFormat="false" ht="15" hidden="false" customHeight="true" outlineLevel="0" collapsed="false">
      <c r="A368" s="46" t="s">
        <v>2279</v>
      </c>
      <c r="B368" s="24" t="s">
        <v>1364</v>
      </c>
      <c r="C368" s="24" t="s">
        <v>1315</v>
      </c>
      <c r="D368" s="24" t="n">
        <v>1</v>
      </c>
      <c r="E368" s="24" t="s">
        <v>1915</v>
      </c>
    </row>
    <row r="369" customFormat="false" ht="15" hidden="false" customHeight="true" outlineLevel="0" collapsed="false">
      <c r="A369" s="46" t="s">
        <v>2280</v>
      </c>
      <c r="B369" s="24" t="s">
        <v>1364</v>
      </c>
      <c r="C369" s="24" t="s">
        <v>1302</v>
      </c>
      <c r="D369" s="24" t="n">
        <v>2</v>
      </c>
      <c r="E369" s="24" t="s">
        <v>1915</v>
      </c>
    </row>
    <row r="370" customFormat="false" ht="15" hidden="false" customHeight="true" outlineLevel="0" collapsed="false">
      <c r="A370" s="46" t="s">
        <v>2281</v>
      </c>
      <c r="B370" s="24" t="s">
        <v>1364</v>
      </c>
      <c r="C370" s="24" t="s">
        <v>1352</v>
      </c>
      <c r="D370" s="24" t="n">
        <v>3</v>
      </c>
      <c r="E370" s="24" t="s">
        <v>1920</v>
      </c>
    </row>
    <row r="371" customFormat="false" ht="15" hidden="false" customHeight="true" outlineLevel="0" collapsed="false">
      <c r="A371" s="46" t="s">
        <v>2282</v>
      </c>
      <c r="B371" s="24" t="s">
        <v>1364</v>
      </c>
      <c r="C371" s="24" t="s">
        <v>1340</v>
      </c>
      <c r="D371" s="24" t="n">
        <v>4</v>
      </c>
      <c r="E371" s="24" t="s">
        <v>1920</v>
      </c>
    </row>
    <row r="372" customFormat="false" ht="15" hidden="false" customHeight="true" outlineLevel="0" collapsed="false">
      <c r="A372" s="46" t="s">
        <v>2283</v>
      </c>
      <c r="B372" s="24" t="s">
        <v>1375</v>
      </c>
      <c r="C372" s="24" t="s">
        <v>1391</v>
      </c>
      <c r="D372" s="24" t="n">
        <v>1</v>
      </c>
      <c r="E372" s="24" t="s">
        <v>1915</v>
      </c>
    </row>
    <row r="373" customFormat="false" ht="15" hidden="false" customHeight="true" outlineLevel="0" collapsed="false">
      <c r="A373" s="46" t="s">
        <v>2284</v>
      </c>
      <c r="B373" s="24" t="s">
        <v>1375</v>
      </c>
      <c r="C373" s="24" t="s">
        <v>1508</v>
      </c>
      <c r="D373" s="24" t="n">
        <v>2</v>
      </c>
      <c r="E373" s="24" t="s">
        <v>1915</v>
      </c>
    </row>
    <row r="374" customFormat="false" ht="15" hidden="false" customHeight="true" outlineLevel="0" collapsed="false">
      <c r="A374" s="46" t="s">
        <v>2285</v>
      </c>
      <c r="B374" s="24" t="s">
        <v>1375</v>
      </c>
      <c r="C374" s="24" t="s">
        <v>1518</v>
      </c>
      <c r="D374" s="24" t="n">
        <v>3</v>
      </c>
      <c r="E374" s="24" t="s">
        <v>1920</v>
      </c>
    </row>
    <row r="375" customFormat="false" ht="15" hidden="false" customHeight="true" outlineLevel="0" collapsed="false">
      <c r="A375" s="46" t="s">
        <v>2286</v>
      </c>
      <c r="B375" s="24" t="s">
        <v>1375</v>
      </c>
      <c r="C375" s="24" t="s">
        <v>1446</v>
      </c>
      <c r="D375" s="24" t="n">
        <v>4</v>
      </c>
      <c r="E375" s="24" t="s">
        <v>1915</v>
      </c>
    </row>
    <row r="376" customFormat="false" ht="15" hidden="false" customHeight="true" outlineLevel="0" collapsed="false">
      <c r="A376" s="46" t="s">
        <v>2287</v>
      </c>
      <c r="B376" s="24" t="s">
        <v>1375</v>
      </c>
      <c r="C376" s="24" t="s">
        <v>1486</v>
      </c>
      <c r="D376" s="24" t="n">
        <v>5</v>
      </c>
      <c r="E376" s="24" t="s">
        <v>1915</v>
      </c>
    </row>
    <row r="377" customFormat="false" ht="15" hidden="false" customHeight="true" outlineLevel="0" collapsed="false">
      <c r="A377" s="46" t="s">
        <v>2288</v>
      </c>
      <c r="B377" s="24" t="s">
        <v>1391</v>
      </c>
      <c r="C377" s="24" t="s">
        <v>1375</v>
      </c>
      <c r="D377" s="24" t="n">
        <v>1</v>
      </c>
      <c r="E377" s="24" t="s">
        <v>1915</v>
      </c>
    </row>
    <row r="378" customFormat="false" ht="15" hidden="false" customHeight="true" outlineLevel="0" collapsed="false">
      <c r="A378" s="46" t="s">
        <v>2289</v>
      </c>
      <c r="B378" s="24" t="s">
        <v>1391</v>
      </c>
      <c r="C378" s="24" t="s">
        <v>1518</v>
      </c>
      <c r="D378" s="24" t="n">
        <v>2</v>
      </c>
      <c r="E378" s="24" t="s">
        <v>1920</v>
      </c>
    </row>
    <row r="379" customFormat="false" ht="15" hidden="false" customHeight="true" outlineLevel="0" collapsed="false">
      <c r="A379" s="46" t="s">
        <v>2290</v>
      </c>
      <c r="B379" s="24" t="s">
        <v>1391</v>
      </c>
      <c r="C379" s="24" t="s">
        <v>1486</v>
      </c>
      <c r="D379" s="24" t="n">
        <v>3</v>
      </c>
      <c r="E379" s="24" t="s">
        <v>1915</v>
      </c>
    </row>
    <row r="380" customFormat="false" ht="15" hidden="false" customHeight="true" outlineLevel="0" collapsed="false">
      <c r="A380" s="46" t="s">
        <v>2291</v>
      </c>
      <c r="B380" s="24" t="s">
        <v>1391</v>
      </c>
      <c r="C380" s="24" t="s">
        <v>1508</v>
      </c>
      <c r="D380" s="24" t="n">
        <v>4</v>
      </c>
      <c r="E380" s="24" t="s">
        <v>1915</v>
      </c>
    </row>
    <row r="381" customFormat="false" ht="15" hidden="false" customHeight="true" outlineLevel="0" collapsed="false">
      <c r="A381" s="46" t="s">
        <v>2292</v>
      </c>
      <c r="B381" s="24" t="s">
        <v>1403</v>
      </c>
      <c r="C381" s="24" t="s">
        <v>1486</v>
      </c>
      <c r="D381" s="24" t="n">
        <v>1</v>
      </c>
      <c r="E381" s="24" t="s">
        <v>1915</v>
      </c>
    </row>
    <row r="382" customFormat="false" ht="15" hidden="false" customHeight="true" outlineLevel="0" collapsed="false">
      <c r="A382" s="46" t="s">
        <v>2293</v>
      </c>
      <c r="B382" s="24" t="s">
        <v>1403</v>
      </c>
      <c r="C382" s="24" t="s">
        <v>1508</v>
      </c>
      <c r="D382" s="24" t="n">
        <v>2</v>
      </c>
      <c r="E382" s="24" t="s">
        <v>1915</v>
      </c>
    </row>
    <row r="383" customFormat="false" ht="15" hidden="false" customHeight="true" outlineLevel="0" collapsed="false">
      <c r="A383" s="46" t="s">
        <v>2294</v>
      </c>
      <c r="B383" s="24" t="s">
        <v>1403</v>
      </c>
      <c r="C383" s="24" t="s">
        <v>1474</v>
      </c>
      <c r="D383" s="24" t="n">
        <v>3</v>
      </c>
      <c r="E383" s="24" t="s">
        <v>1915</v>
      </c>
    </row>
    <row r="384" customFormat="false" ht="15" hidden="false" customHeight="true" outlineLevel="0" collapsed="false">
      <c r="A384" s="46" t="s">
        <v>2295</v>
      </c>
      <c r="B384" s="24" t="s">
        <v>1403</v>
      </c>
      <c r="C384" s="24" t="s">
        <v>1391</v>
      </c>
      <c r="D384" s="24" t="n">
        <v>4</v>
      </c>
      <c r="E384" s="24" t="s">
        <v>1915</v>
      </c>
    </row>
    <row r="385" customFormat="false" ht="15" hidden="false" customHeight="true" outlineLevel="0" collapsed="false">
      <c r="A385" s="46" t="s">
        <v>2296</v>
      </c>
      <c r="B385" s="24" t="s">
        <v>1403</v>
      </c>
      <c r="C385" s="24" t="s">
        <v>1375</v>
      </c>
      <c r="D385" s="24" t="n">
        <v>5</v>
      </c>
      <c r="E385" s="24" t="s">
        <v>1915</v>
      </c>
    </row>
    <row r="386" customFormat="false" ht="15" hidden="false" customHeight="true" outlineLevel="0" collapsed="false">
      <c r="A386" s="46" t="s">
        <v>2297</v>
      </c>
      <c r="B386" s="24" t="s">
        <v>1416</v>
      </c>
      <c r="C386" s="24" t="s">
        <v>1497</v>
      </c>
      <c r="D386" s="24" t="n">
        <v>1</v>
      </c>
      <c r="E386" s="24" t="s">
        <v>1915</v>
      </c>
    </row>
    <row r="387" customFormat="false" ht="15" hidden="false" customHeight="true" outlineLevel="0" collapsed="false">
      <c r="A387" s="46" t="s">
        <v>2298</v>
      </c>
      <c r="B387" s="24" t="s">
        <v>1416</v>
      </c>
      <c r="C387" s="24" t="s">
        <v>1831</v>
      </c>
      <c r="D387" s="24" t="n">
        <v>2</v>
      </c>
      <c r="E387" s="24" t="s">
        <v>1915</v>
      </c>
    </row>
    <row r="388" customFormat="false" ht="15" hidden="false" customHeight="true" outlineLevel="0" collapsed="false">
      <c r="A388" s="46" t="s">
        <v>2299</v>
      </c>
      <c r="B388" s="24" t="s">
        <v>1416</v>
      </c>
      <c r="C388" s="24" t="s">
        <v>1431</v>
      </c>
      <c r="D388" s="24" t="n">
        <v>3</v>
      </c>
      <c r="E388" s="24" t="s">
        <v>1920</v>
      </c>
    </row>
    <row r="389" customFormat="false" ht="15" hidden="false" customHeight="true" outlineLevel="0" collapsed="false">
      <c r="A389" s="46" t="s">
        <v>2300</v>
      </c>
      <c r="B389" s="24" t="s">
        <v>1416</v>
      </c>
      <c r="C389" s="24" t="s">
        <v>1460</v>
      </c>
      <c r="D389" s="24" t="n">
        <v>4</v>
      </c>
      <c r="E389" s="24" t="s">
        <v>1920</v>
      </c>
    </row>
    <row r="390" customFormat="false" ht="15" hidden="false" customHeight="true" outlineLevel="0" collapsed="false">
      <c r="A390" s="46" t="s">
        <v>2301</v>
      </c>
      <c r="B390" s="24" t="s">
        <v>1431</v>
      </c>
      <c r="C390" s="24" t="s">
        <v>1497</v>
      </c>
      <c r="D390" s="24" t="n">
        <v>1</v>
      </c>
      <c r="E390" s="24" t="s">
        <v>1920</v>
      </c>
    </row>
    <row r="391" customFormat="false" ht="15" hidden="false" customHeight="true" outlineLevel="0" collapsed="false">
      <c r="A391" s="46" t="s">
        <v>2302</v>
      </c>
      <c r="B391" s="24" t="s">
        <v>1431</v>
      </c>
      <c r="C391" s="24" t="s">
        <v>1518</v>
      </c>
      <c r="D391" s="24" t="n">
        <v>2</v>
      </c>
      <c r="E391" s="24" t="s">
        <v>1915</v>
      </c>
    </row>
    <row r="392" customFormat="false" ht="15" hidden="false" customHeight="true" outlineLevel="0" collapsed="false">
      <c r="A392" s="46" t="s">
        <v>2303</v>
      </c>
      <c r="B392" s="24" t="s">
        <v>1431</v>
      </c>
      <c r="C392" s="24" t="s">
        <v>1375</v>
      </c>
      <c r="D392" s="24" t="n">
        <v>3</v>
      </c>
      <c r="E392" s="24" t="s">
        <v>1920</v>
      </c>
    </row>
    <row r="393" customFormat="false" ht="15" hidden="false" customHeight="true" outlineLevel="0" collapsed="false">
      <c r="A393" s="46" t="s">
        <v>2304</v>
      </c>
      <c r="B393" s="24" t="s">
        <v>1431</v>
      </c>
      <c r="C393" s="24" t="s">
        <v>1391</v>
      </c>
      <c r="D393" s="24" t="n">
        <v>4</v>
      </c>
      <c r="E393" s="24" t="s">
        <v>1920</v>
      </c>
    </row>
    <row r="394" customFormat="false" ht="15" hidden="false" customHeight="true" outlineLevel="0" collapsed="false">
      <c r="A394" s="46" t="s">
        <v>2305</v>
      </c>
      <c r="B394" s="24" t="s">
        <v>1431</v>
      </c>
      <c r="C394" s="24" t="s">
        <v>1460</v>
      </c>
      <c r="D394" s="24" t="n">
        <v>5</v>
      </c>
      <c r="E394" s="24" t="s">
        <v>1920</v>
      </c>
    </row>
    <row r="395" customFormat="false" ht="15" hidden="false" customHeight="true" outlineLevel="0" collapsed="false">
      <c r="A395" s="46" t="s">
        <v>2306</v>
      </c>
      <c r="B395" s="24" t="s">
        <v>1446</v>
      </c>
      <c r="C395" s="24" t="s">
        <v>1508</v>
      </c>
      <c r="D395" s="24" t="n">
        <v>1</v>
      </c>
      <c r="E395" s="24" t="s">
        <v>1915</v>
      </c>
    </row>
    <row r="396" customFormat="false" ht="15" hidden="false" customHeight="true" outlineLevel="0" collapsed="false">
      <c r="A396" s="46" t="s">
        <v>2307</v>
      </c>
      <c r="B396" s="24" t="s">
        <v>1446</v>
      </c>
      <c r="C396" s="24" t="s">
        <v>1375</v>
      </c>
      <c r="D396" s="24" t="n">
        <v>2</v>
      </c>
      <c r="E396" s="24" t="s">
        <v>1915</v>
      </c>
    </row>
    <row r="397" customFormat="false" ht="15" hidden="false" customHeight="true" outlineLevel="0" collapsed="false">
      <c r="A397" s="46" t="s">
        <v>2308</v>
      </c>
      <c r="B397" s="24" t="s">
        <v>1446</v>
      </c>
      <c r="C397" s="24" t="s">
        <v>1391</v>
      </c>
      <c r="D397" s="24" t="n">
        <v>3</v>
      </c>
      <c r="E397" s="24" t="s">
        <v>1915</v>
      </c>
    </row>
    <row r="398" customFormat="false" ht="15" hidden="false" customHeight="true" outlineLevel="0" collapsed="false">
      <c r="A398" s="46" t="s">
        <v>2309</v>
      </c>
      <c r="B398" s="24" t="s">
        <v>1446</v>
      </c>
      <c r="C398" s="24" t="s">
        <v>1474</v>
      </c>
      <c r="D398" s="24" t="n">
        <v>4</v>
      </c>
      <c r="E398" s="24" t="s">
        <v>1915</v>
      </c>
    </row>
    <row r="399" customFormat="false" ht="15" hidden="false" customHeight="true" outlineLevel="0" collapsed="false">
      <c r="A399" s="46" t="s">
        <v>2310</v>
      </c>
      <c r="B399" s="24" t="s">
        <v>1446</v>
      </c>
      <c r="C399" s="24" t="s">
        <v>1486</v>
      </c>
      <c r="D399" s="24" t="n">
        <v>5</v>
      </c>
      <c r="E399" s="24" t="s">
        <v>1915</v>
      </c>
    </row>
    <row r="400" customFormat="false" ht="15" hidden="false" customHeight="true" outlineLevel="0" collapsed="false">
      <c r="A400" s="46" t="s">
        <v>2311</v>
      </c>
      <c r="B400" s="24" t="s">
        <v>1460</v>
      </c>
      <c r="C400" s="24" t="s">
        <v>1529</v>
      </c>
      <c r="D400" s="24" t="n">
        <v>1</v>
      </c>
      <c r="E400" s="24" t="s">
        <v>1915</v>
      </c>
    </row>
    <row r="401" customFormat="false" ht="15" hidden="false" customHeight="true" outlineLevel="0" collapsed="false">
      <c r="A401" s="46" t="s">
        <v>2312</v>
      </c>
      <c r="B401" s="24" t="s">
        <v>1460</v>
      </c>
      <c r="C401" s="24" t="s">
        <v>1615</v>
      </c>
      <c r="D401" s="24" t="n">
        <v>2</v>
      </c>
      <c r="E401" s="24" t="s">
        <v>1920</v>
      </c>
    </row>
    <row r="402" customFormat="false" ht="15" hidden="false" customHeight="true" outlineLevel="0" collapsed="false">
      <c r="A402" s="46" t="s">
        <v>2313</v>
      </c>
      <c r="B402" s="24" t="s">
        <v>1460</v>
      </c>
      <c r="C402" s="24" t="s">
        <v>1431</v>
      </c>
      <c r="D402" s="24" t="n">
        <v>3</v>
      </c>
      <c r="E402" s="24" t="s">
        <v>1920</v>
      </c>
    </row>
    <row r="403" customFormat="false" ht="15" hidden="false" customHeight="true" outlineLevel="0" collapsed="false">
      <c r="A403" s="46" t="s">
        <v>2314</v>
      </c>
      <c r="B403" s="24" t="s">
        <v>1460</v>
      </c>
      <c r="C403" s="24" t="s">
        <v>1375</v>
      </c>
      <c r="D403" s="24" t="n">
        <v>4</v>
      </c>
      <c r="E403" s="24" t="s">
        <v>1920</v>
      </c>
    </row>
    <row r="404" customFormat="false" ht="15" hidden="false" customHeight="true" outlineLevel="0" collapsed="false">
      <c r="A404" s="46" t="s">
        <v>2315</v>
      </c>
      <c r="B404" s="24" t="s">
        <v>1474</v>
      </c>
      <c r="C404" s="24" t="s">
        <v>1486</v>
      </c>
      <c r="D404" s="24" t="n">
        <v>1</v>
      </c>
      <c r="E404" s="24" t="s">
        <v>1915</v>
      </c>
    </row>
    <row r="405" customFormat="false" ht="15" hidden="false" customHeight="true" outlineLevel="0" collapsed="false">
      <c r="A405" s="46" t="s">
        <v>2316</v>
      </c>
      <c r="B405" s="24" t="s">
        <v>1474</v>
      </c>
      <c r="C405" s="24" t="s">
        <v>1403</v>
      </c>
      <c r="D405" s="24" t="n">
        <v>2</v>
      </c>
      <c r="E405" s="24" t="s">
        <v>1915</v>
      </c>
    </row>
    <row r="406" customFormat="false" ht="15" hidden="false" customHeight="true" outlineLevel="0" collapsed="false">
      <c r="A406" s="46" t="s">
        <v>2317</v>
      </c>
      <c r="B406" s="24" t="s">
        <v>1474</v>
      </c>
      <c r="C406" s="24" t="s">
        <v>1508</v>
      </c>
      <c r="D406" s="24" t="n">
        <v>3</v>
      </c>
      <c r="E406" s="24" t="s">
        <v>1915</v>
      </c>
    </row>
    <row r="407" customFormat="false" ht="15" hidden="false" customHeight="true" outlineLevel="0" collapsed="false">
      <c r="A407" s="46" t="s">
        <v>2318</v>
      </c>
      <c r="B407" s="24" t="s">
        <v>1474</v>
      </c>
      <c r="C407" s="24" t="s">
        <v>1375</v>
      </c>
      <c r="D407" s="24" t="n">
        <v>4</v>
      </c>
      <c r="E407" s="24" t="s">
        <v>1915</v>
      </c>
    </row>
    <row r="408" customFormat="false" ht="15" hidden="false" customHeight="true" outlineLevel="0" collapsed="false">
      <c r="A408" s="46" t="s">
        <v>2319</v>
      </c>
      <c r="B408" s="24" t="s">
        <v>1474</v>
      </c>
      <c r="C408" s="24" t="s">
        <v>1391</v>
      </c>
      <c r="D408" s="24" t="n">
        <v>5</v>
      </c>
      <c r="E408" s="24" t="s">
        <v>1915</v>
      </c>
    </row>
    <row r="409" customFormat="false" ht="15" hidden="false" customHeight="true" outlineLevel="0" collapsed="false">
      <c r="A409" s="46" t="s">
        <v>2320</v>
      </c>
      <c r="B409" s="24" t="s">
        <v>1486</v>
      </c>
      <c r="C409" s="24" t="s">
        <v>1508</v>
      </c>
      <c r="D409" s="24" t="n">
        <v>1</v>
      </c>
      <c r="E409" s="24" t="s">
        <v>1915</v>
      </c>
    </row>
    <row r="410" customFormat="false" ht="15" hidden="false" customHeight="true" outlineLevel="0" collapsed="false">
      <c r="A410" s="46" t="s">
        <v>2321</v>
      </c>
      <c r="B410" s="24" t="s">
        <v>1486</v>
      </c>
      <c r="C410" s="24" t="s">
        <v>1391</v>
      </c>
      <c r="D410" s="24" t="n">
        <v>2</v>
      </c>
      <c r="E410" s="24" t="s">
        <v>1915</v>
      </c>
    </row>
    <row r="411" customFormat="false" ht="15" hidden="false" customHeight="true" outlineLevel="0" collapsed="false">
      <c r="A411" s="46" t="s">
        <v>2322</v>
      </c>
      <c r="B411" s="24" t="s">
        <v>1486</v>
      </c>
      <c r="C411" s="24" t="s">
        <v>1474</v>
      </c>
      <c r="D411" s="24" t="n">
        <v>3</v>
      </c>
      <c r="E411" s="24" t="s">
        <v>1915</v>
      </c>
    </row>
    <row r="412" customFormat="false" ht="15" hidden="false" customHeight="true" outlineLevel="0" collapsed="false">
      <c r="A412" s="46" t="s">
        <v>2323</v>
      </c>
      <c r="B412" s="24" t="s">
        <v>1486</v>
      </c>
      <c r="C412" s="24" t="s">
        <v>1375</v>
      </c>
      <c r="D412" s="24" t="n">
        <v>4</v>
      </c>
      <c r="E412" s="24" t="s">
        <v>1915</v>
      </c>
    </row>
    <row r="413" customFormat="false" ht="15" hidden="false" customHeight="true" outlineLevel="0" collapsed="false">
      <c r="A413" s="46" t="s">
        <v>2324</v>
      </c>
      <c r="B413" s="24" t="s">
        <v>1497</v>
      </c>
      <c r="C413" s="24" t="s">
        <v>1416</v>
      </c>
      <c r="D413" s="24" t="n">
        <v>1</v>
      </c>
      <c r="E413" s="24" t="s">
        <v>1915</v>
      </c>
    </row>
    <row r="414" customFormat="false" ht="15" hidden="false" customHeight="true" outlineLevel="0" collapsed="false">
      <c r="A414" s="46" t="s">
        <v>2325</v>
      </c>
      <c r="B414" s="24" t="s">
        <v>1497</v>
      </c>
      <c r="C414" s="24" t="s">
        <v>1831</v>
      </c>
      <c r="D414" s="24" t="n">
        <v>2</v>
      </c>
      <c r="E414" s="24" t="s">
        <v>1915</v>
      </c>
    </row>
    <row r="415" customFormat="false" ht="15" hidden="false" customHeight="true" outlineLevel="0" collapsed="false">
      <c r="A415" s="46" t="s">
        <v>2326</v>
      </c>
      <c r="B415" s="24" t="s">
        <v>1497</v>
      </c>
      <c r="C415" s="24" t="s">
        <v>1431</v>
      </c>
      <c r="D415" s="24" t="n">
        <v>3</v>
      </c>
      <c r="E415" s="24" t="s">
        <v>1920</v>
      </c>
    </row>
    <row r="416" customFormat="false" ht="15" hidden="false" customHeight="true" outlineLevel="0" collapsed="false">
      <c r="A416" s="46" t="s">
        <v>2327</v>
      </c>
      <c r="B416" s="24" t="s">
        <v>1508</v>
      </c>
      <c r="C416" s="24" t="s">
        <v>1391</v>
      </c>
      <c r="D416" s="24" t="n">
        <v>1</v>
      </c>
      <c r="E416" s="24" t="s">
        <v>1915</v>
      </c>
    </row>
    <row r="417" customFormat="false" ht="15" hidden="false" customHeight="true" outlineLevel="0" collapsed="false">
      <c r="A417" s="46" t="s">
        <v>2328</v>
      </c>
      <c r="B417" s="24" t="s">
        <v>1508</v>
      </c>
      <c r="C417" s="24" t="s">
        <v>1375</v>
      </c>
      <c r="D417" s="24" t="n">
        <v>2</v>
      </c>
      <c r="E417" s="24" t="s">
        <v>1915</v>
      </c>
    </row>
    <row r="418" customFormat="false" ht="15" hidden="false" customHeight="true" outlineLevel="0" collapsed="false">
      <c r="A418" s="46" t="s">
        <v>2329</v>
      </c>
      <c r="B418" s="24" t="s">
        <v>1508</v>
      </c>
      <c r="C418" s="24" t="s">
        <v>1486</v>
      </c>
      <c r="D418" s="24" t="n">
        <v>3</v>
      </c>
      <c r="E418" s="24" t="s">
        <v>1915</v>
      </c>
    </row>
    <row r="419" customFormat="false" ht="15" hidden="false" customHeight="true" outlineLevel="0" collapsed="false">
      <c r="A419" s="46" t="s">
        <v>2330</v>
      </c>
      <c r="B419" s="24" t="s">
        <v>1508</v>
      </c>
      <c r="C419" s="24" t="s">
        <v>1446</v>
      </c>
      <c r="D419" s="24" t="n">
        <v>4</v>
      </c>
      <c r="E419" s="24" t="s">
        <v>1915</v>
      </c>
    </row>
    <row r="420" customFormat="false" ht="15" hidden="false" customHeight="true" outlineLevel="0" collapsed="false">
      <c r="A420" s="46" t="s">
        <v>2331</v>
      </c>
      <c r="B420" s="24" t="s">
        <v>1518</v>
      </c>
      <c r="C420" s="24" t="s">
        <v>1391</v>
      </c>
      <c r="D420" s="24" t="n">
        <v>1</v>
      </c>
      <c r="E420" s="24" t="s">
        <v>1920</v>
      </c>
    </row>
    <row r="421" customFormat="false" ht="15" hidden="false" customHeight="true" outlineLevel="0" collapsed="false">
      <c r="A421" s="46" t="s">
        <v>2332</v>
      </c>
      <c r="B421" s="24" t="s">
        <v>1518</v>
      </c>
      <c r="C421" s="24" t="s">
        <v>1431</v>
      </c>
      <c r="D421" s="24" t="n">
        <v>2</v>
      </c>
      <c r="E421" s="24" t="s">
        <v>1915</v>
      </c>
    </row>
    <row r="422" customFormat="false" ht="15" hidden="false" customHeight="true" outlineLevel="0" collapsed="false">
      <c r="A422" s="46" t="s">
        <v>2333</v>
      </c>
      <c r="B422" s="24" t="s">
        <v>1518</v>
      </c>
      <c r="C422" s="24" t="s">
        <v>1375</v>
      </c>
      <c r="D422" s="24" t="n">
        <v>3</v>
      </c>
      <c r="E422" s="24" t="s">
        <v>1920</v>
      </c>
    </row>
    <row r="423" customFormat="false" ht="15" hidden="false" customHeight="true" outlineLevel="0" collapsed="false">
      <c r="A423" s="46" t="s">
        <v>2334</v>
      </c>
      <c r="B423" s="24" t="s">
        <v>1529</v>
      </c>
      <c r="C423" s="24" t="s">
        <v>1460</v>
      </c>
      <c r="D423" s="24" t="n">
        <v>1</v>
      </c>
      <c r="E423" s="24" t="s">
        <v>1915</v>
      </c>
    </row>
    <row r="424" customFormat="false" ht="15" hidden="false" customHeight="true" outlineLevel="0" collapsed="false">
      <c r="A424" s="46" t="s">
        <v>2335</v>
      </c>
      <c r="B424" s="24" t="s">
        <v>1529</v>
      </c>
      <c r="C424" s="24" t="s">
        <v>1615</v>
      </c>
      <c r="D424" s="24" t="n">
        <v>2</v>
      </c>
      <c r="E424" s="24" t="s">
        <v>1920</v>
      </c>
    </row>
    <row r="425" customFormat="false" ht="15" hidden="false" customHeight="true" outlineLevel="0" collapsed="false">
      <c r="A425" s="46" t="s">
        <v>2336</v>
      </c>
      <c r="B425" s="24" t="s">
        <v>1529</v>
      </c>
      <c r="C425" s="24" t="s">
        <v>1431</v>
      </c>
      <c r="D425" s="24" t="n">
        <v>3</v>
      </c>
      <c r="E425" s="24" t="s">
        <v>1920</v>
      </c>
    </row>
    <row r="426" customFormat="false" ht="15" hidden="false" customHeight="true" outlineLevel="0" collapsed="false">
      <c r="A426" s="46" t="s">
        <v>2337</v>
      </c>
      <c r="B426" s="24" t="s">
        <v>1529</v>
      </c>
      <c r="C426" s="24" t="s">
        <v>1375</v>
      </c>
      <c r="D426" s="24" t="n">
        <v>4</v>
      </c>
      <c r="E426" s="24" t="s">
        <v>1920</v>
      </c>
    </row>
    <row r="427" customFormat="false" ht="15" hidden="false" customHeight="true" outlineLevel="0" collapsed="false">
      <c r="A427" s="46" t="s">
        <v>2338</v>
      </c>
      <c r="B427" s="24" t="s">
        <v>1540</v>
      </c>
      <c r="C427" s="24" t="s">
        <v>1557</v>
      </c>
      <c r="D427" s="24" t="n">
        <v>1</v>
      </c>
      <c r="E427" s="24" t="s">
        <v>1915</v>
      </c>
    </row>
    <row r="428" customFormat="false" ht="15" hidden="false" customHeight="true" outlineLevel="0" collapsed="false">
      <c r="A428" s="46" t="s">
        <v>2339</v>
      </c>
      <c r="B428" s="24" t="s">
        <v>1540</v>
      </c>
      <c r="C428" s="24" t="s">
        <v>1571</v>
      </c>
      <c r="D428" s="24" t="n">
        <v>2</v>
      </c>
      <c r="E428" s="24" t="s">
        <v>1915</v>
      </c>
    </row>
    <row r="429" customFormat="false" ht="15" hidden="false" customHeight="true" outlineLevel="0" collapsed="false">
      <c r="A429" s="46" t="s">
        <v>2340</v>
      </c>
      <c r="B429" s="24" t="s">
        <v>1540</v>
      </c>
      <c r="C429" s="24" t="s">
        <v>1628</v>
      </c>
      <c r="D429" s="24" t="n">
        <v>3</v>
      </c>
      <c r="E429" s="24" t="s">
        <v>1915</v>
      </c>
    </row>
    <row r="430" customFormat="false" ht="15" hidden="false" customHeight="true" outlineLevel="0" collapsed="false">
      <c r="A430" s="46" t="s">
        <v>2341</v>
      </c>
      <c r="B430" s="24" t="s">
        <v>1557</v>
      </c>
      <c r="C430" s="24" t="s">
        <v>1540</v>
      </c>
      <c r="D430" s="24" t="n">
        <v>1</v>
      </c>
      <c r="E430" s="24" t="s">
        <v>1915</v>
      </c>
    </row>
    <row r="431" customFormat="false" ht="15" hidden="false" customHeight="true" outlineLevel="0" collapsed="false">
      <c r="A431" s="46" t="s">
        <v>2342</v>
      </c>
      <c r="B431" s="24" t="s">
        <v>1557</v>
      </c>
      <c r="C431" s="24" t="s">
        <v>1571</v>
      </c>
      <c r="D431" s="24" t="n">
        <v>2</v>
      </c>
      <c r="E431" s="24" t="s">
        <v>1915</v>
      </c>
    </row>
    <row r="432" customFormat="false" ht="15" hidden="false" customHeight="true" outlineLevel="0" collapsed="false">
      <c r="A432" s="46" t="s">
        <v>2343</v>
      </c>
      <c r="B432" s="24" t="s">
        <v>1557</v>
      </c>
      <c r="C432" s="24" t="s">
        <v>1628</v>
      </c>
      <c r="D432" s="24" t="n">
        <v>3</v>
      </c>
      <c r="E432" s="24" t="s">
        <v>1915</v>
      </c>
    </row>
    <row r="433" customFormat="false" ht="15" hidden="false" customHeight="true" outlineLevel="0" collapsed="false">
      <c r="A433" s="46" t="s">
        <v>2344</v>
      </c>
      <c r="B433" s="24" t="s">
        <v>1571</v>
      </c>
      <c r="C433" s="24" t="s">
        <v>1540</v>
      </c>
      <c r="D433" s="24" t="n">
        <v>1</v>
      </c>
      <c r="E433" s="24" t="s">
        <v>1915</v>
      </c>
    </row>
    <row r="434" customFormat="false" ht="15" hidden="false" customHeight="true" outlineLevel="0" collapsed="false">
      <c r="A434" s="46" t="s">
        <v>2345</v>
      </c>
      <c r="B434" s="24" t="s">
        <v>1571</v>
      </c>
      <c r="C434" s="24" t="s">
        <v>1557</v>
      </c>
      <c r="D434" s="24" t="n">
        <v>2</v>
      </c>
      <c r="E434" s="24" t="s">
        <v>1915</v>
      </c>
    </row>
    <row r="435" customFormat="false" ht="15" hidden="false" customHeight="true" outlineLevel="0" collapsed="false">
      <c r="A435" s="46" t="s">
        <v>2346</v>
      </c>
      <c r="B435" s="24" t="s">
        <v>1571</v>
      </c>
      <c r="C435" s="24" t="s">
        <v>1628</v>
      </c>
      <c r="D435" s="24" t="n">
        <v>3</v>
      </c>
      <c r="E435" s="24" t="s">
        <v>1915</v>
      </c>
    </row>
    <row r="436" customFormat="false" ht="15" hidden="false" customHeight="true" outlineLevel="0" collapsed="false">
      <c r="A436" s="46" t="s">
        <v>2347</v>
      </c>
      <c r="B436" s="24" t="s">
        <v>1583</v>
      </c>
      <c r="C436" s="24" t="s">
        <v>1856</v>
      </c>
      <c r="D436" s="24" t="n">
        <v>1</v>
      </c>
      <c r="E436" s="24" t="s">
        <v>1915</v>
      </c>
    </row>
    <row r="437" customFormat="false" ht="15" hidden="false" customHeight="true" outlineLevel="0" collapsed="false">
      <c r="A437" s="46" t="s">
        <v>2348</v>
      </c>
      <c r="B437" s="24" t="s">
        <v>1583</v>
      </c>
      <c r="C437" s="24" t="s">
        <v>1140</v>
      </c>
      <c r="D437" s="24" t="n">
        <v>2</v>
      </c>
      <c r="E437" s="24" t="s">
        <v>1920</v>
      </c>
    </row>
    <row r="438" customFormat="false" ht="15" hidden="false" customHeight="true" outlineLevel="0" collapsed="false">
      <c r="A438" s="46" t="s">
        <v>2349</v>
      </c>
      <c r="B438" s="24" t="s">
        <v>1583</v>
      </c>
      <c r="C438" s="24" t="s">
        <v>1047</v>
      </c>
      <c r="D438" s="24" t="n">
        <v>3</v>
      </c>
      <c r="E438" s="24" t="s">
        <v>1920</v>
      </c>
    </row>
    <row r="439" customFormat="false" ht="15" hidden="false" customHeight="true" outlineLevel="0" collapsed="false">
      <c r="A439" s="46" t="s">
        <v>2350</v>
      </c>
      <c r="B439" s="24" t="s">
        <v>1583</v>
      </c>
      <c r="C439" s="24" t="s">
        <v>1035</v>
      </c>
      <c r="D439" s="24" t="n">
        <v>4</v>
      </c>
      <c r="E439" s="24" t="s">
        <v>1920</v>
      </c>
    </row>
    <row r="440" customFormat="false" ht="15" hidden="false" customHeight="true" outlineLevel="0" collapsed="false">
      <c r="A440" s="46" t="s">
        <v>2351</v>
      </c>
      <c r="B440" s="24" t="s">
        <v>1583</v>
      </c>
      <c r="C440" s="24" t="s">
        <v>1638</v>
      </c>
      <c r="D440" s="24" t="n">
        <v>5</v>
      </c>
      <c r="E440" s="24" t="s">
        <v>1920</v>
      </c>
    </row>
    <row r="441" customFormat="false" ht="15" hidden="false" customHeight="true" outlineLevel="0" collapsed="false">
      <c r="A441" s="46" t="s">
        <v>2352</v>
      </c>
      <c r="B441" s="24" t="s">
        <v>1599</v>
      </c>
      <c r="C441" s="24" t="s">
        <v>1615</v>
      </c>
      <c r="D441" s="24" t="n">
        <v>1</v>
      </c>
      <c r="E441" s="24" t="s">
        <v>1915</v>
      </c>
    </row>
    <row r="442" customFormat="false" ht="15" hidden="false" customHeight="true" outlineLevel="0" collapsed="false">
      <c r="A442" s="46" t="s">
        <v>2353</v>
      </c>
      <c r="B442" s="24" t="s">
        <v>1599</v>
      </c>
      <c r="C442" s="24" t="s">
        <v>1460</v>
      </c>
      <c r="D442" s="24" t="n">
        <v>2</v>
      </c>
      <c r="E442" s="24" t="s">
        <v>1920</v>
      </c>
    </row>
    <row r="443" customFormat="false" ht="15" hidden="false" customHeight="true" outlineLevel="0" collapsed="false">
      <c r="A443" s="46" t="s">
        <v>2354</v>
      </c>
      <c r="B443" s="24" t="s">
        <v>1599</v>
      </c>
      <c r="C443" s="24" t="s">
        <v>1375</v>
      </c>
      <c r="D443" s="24" t="n">
        <v>3</v>
      </c>
      <c r="E443" s="24" t="s">
        <v>1920</v>
      </c>
    </row>
    <row r="444" customFormat="false" ht="15" hidden="false" customHeight="true" outlineLevel="0" collapsed="false">
      <c r="A444" s="46" t="s">
        <v>2355</v>
      </c>
      <c r="B444" s="24" t="s">
        <v>1615</v>
      </c>
      <c r="C444" s="24" t="s">
        <v>1599</v>
      </c>
      <c r="D444" s="24" t="n">
        <v>1</v>
      </c>
      <c r="E444" s="24" t="s">
        <v>1915</v>
      </c>
    </row>
    <row r="445" customFormat="false" ht="15" hidden="false" customHeight="true" outlineLevel="0" collapsed="false">
      <c r="A445" s="46" t="s">
        <v>2356</v>
      </c>
      <c r="B445" s="24" t="s">
        <v>1615</v>
      </c>
      <c r="C445" s="24" t="s">
        <v>1460</v>
      </c>
      <c r="D445" s="24" t="n">
        <v>2</v>
      </c>
      <c r="E445" s="24" t="s">
        <v>1920</v>
      </c>
    </row>
    <row r="446" customFormat="false" ht="15" hidden="false" customHeight="true" outlineLevel="0" collapsed="false">
      <c r="A446" s="46" t="s">
        <v>2357</v>
      </c>
      <c r="B446" s="24" t="s">
        <v>1615</v>
      </c>
      <c r="C446" s="24" t="s">
        <v>1431</v>
      </c>
      <c r="D446" s="24" t="n">
        <v>3</v>
      </c>
      <c r="E446" s="24" t="s">
        <v>1920</v>
      </c>
    </row>
    <row r="447" customFormat="false" ht="15" hidden="false" customHeight="true" outlineLevel="0" collapsed="false">
      <c r="A447" s="46" t="s">
        <v>2358</v>
      </c>
      <c r="B447" s="24" t="s">
        <v>1628</v>
      </c>
      <c r="C447" s="24" t="s">
        <v>1571</v>
      </c>
      <c r="D447" s="24" t="n">
        <v>1</v>
      </c>
      <c r="E447" s="24" t="s">
        <v>1915</v>
      </c>
    </row>
    <row r="448" customFormat="false" ht="15" hidden="false" customHeight="true" outlineLevel="0" collapsed="false">
      <c r="A448" s="46" t="s">
        <v>2359</v>
      </c>
      <c r="B448" s="24" t="s">
        <v>1628</v>
      </c>
      <c r="C448" s="24" t="s">
        <v>1540</v>
      </c>
      <c r="D448" s="24" t="n">
        <v>2</v>
      </c>
      <c r="E448" s="24" t="s">
        <v>1915</v>
      </c>
    </row>
    <row r="449" customFormat="false" ht="15" hidden="false" customHeight="true" outlineLevel="0" collapsed="false">
      <c r="A449" s="46" t="s">
        <v>2360</v>
      </c>
      <c r="B449" s="24" t="s">
        <v>1628</v>
      </c>
      <c r="C449" s="24" t="s">
        <v>1557</v>
      </c>
      <c r="D449" s="24" t="n">
        <v>3</v>
      </c>
      <c r="E449" s="24" t="s">
        <v>1915</v>
      </c>
    </row>
    <row r="450" customFormat="false" ht="15" hidden="false" customHeight="true" outlineLevel="0" collapsed="false">
      <c r="A450" s="46" t="s">
        <v>2361</v>
      </c>
      <c r="B450" s="24" t="s">
        <v>1638</v>
      </c>
      <c r="C450" s="24" t="s">
        <v>1656</v>
      </c>
      <c r="D450" s="24" t="n">
        <v>1</v>
      </c>
      <c r="E450" s="24" t="s">
        <v>1915</v>
      </c>
    </row>
    <row r="451" customFormat="false" ht="15" hidden="false" customHeight="true" outlineLevel="0" collapsed="false">
      <c r="A451" s="46" t="s">
        <v>2362</v>
      </c>
      <c r="B451" s="24" t="s">
        <v>1638</v>
      </c>
      <c r="C451" s="24" t="s">
        <v>1669</v>
      </c>
      <c r="D451" s="24" t="n">
        <v>2</v>
      </c>
      <c r="E451" s="24" t="s">
        <v>1920</v>
      </c>
    </row>
    <row r="452" customFormat="false" ht="15" hidden="false" customHeight="true" outlineLevel="0" collapsed="false">
      <c r="A452" s="46" t="s">
        <v>2363</v>
      </c>
      <c r="B452" s="24" t="s">
        <v>1638</v>
      </c>
      <c r="C452" s="24" t="s">
        <v>1844</v>
      </c>
      <c r="D452" s="24" t="n">
        <v>3</v>
      </c>
      <c r="E452" s="24" t="s">
        <v>1920</v>
      </c>
    </row>
    <row r="453" customFormat="false" ht="15" hidden="false" customHeight="true" outlineLevel="0" collapsed="false">
      <c r="A453" s="46" t="s">
        <v>2364</v>
      </c>
      <c r="B453" s="24" t="s">
        <v>1638</v>
      </c>
      <c r="C453" s="24" t="s">
        <v>1683</v>
      </c>
      <c r="D453" s="24" t="n">
        <v>4</v>
      </c>
      <c r="E453" s="24" t="s">
        <v>1915</v>
      </c>
    </row>
    <row r="454" customFormat="false" ht="15" hidden="false" customHeight="true" outlineLevel="0" collapsed="false">
      <c r="A454" s="46" t="s">
        <v>2365</v>
      </c>
      <c r="B454" s="24" t="s">
        <v>1638</v>
      </c>
      <c r="C454" s="24" t="s">
        <v>1035</v>
      </c>
      <c r="D454" s="24" t="n">
        <v>5</v>
      </c>
      <c r="E454" s="24" t="s">
        <v>1920</v>
      </c>
    </row>
    <row r="455" customFormat="false" ht="15" hidden="false" customHeight="true" outlineLevel="0" collapsed="false">
      <c r="A455" s="46" t="s">
        <v>2366</v>
      </c>
      <c r="B455" s="24" t="s">
        <v>1656</v>
      </c>
      <c r="C455" s="24" t="s">
        <v>1683</v>
      </c>
      <c r="D455" s="24" t="n">
        <v>1</v>
      </c>
      <c r="E455" s="24" t="s">
        <v>1915</v>
      </c>
    </row>
    <row r="456" customFormat="false" ht="15" hidden="false" customHeight="true" outlineLevel="0" collapsed="false">
      <c r="A456" s="46" t="s">
        <v>2367</v>
      </c>
      <c r="B456" s="24" t="s">
        <v>1656</v>
      </c>
      <c r="C456" s="24" t="s">
        <v>1844</v>
      </c>
      <c r="D456" s="24" t="n">
        <v>2</v>
      </c>
      <c r="E456" s="24" t="s">
        <v>1920</v>
      </c>
    </row>
    <row r="457" customFormat="false" ht="15" hidden="false" customHeight="true" outlineLevel="0" collapsed="false">
      <c r="A457" s="46" t="s">
        <v>2368</v>
      </c>
      <c r="B457" s="24" t="s">
        <v>1656</v>
      </c>
      <c r="C457" s="24" t="s">
        <v>1669</v>
      </c>
      <c r="D457" s="24" t="n">
        <v>3</v>
      </c>
      <c r="E457" s="24" t="s">
        <v>1920</v>
      </c>
    </row>
    <row r="458" customFormat="false" ht="15" hidden="false" customHeight="true" outlineLevel="0" collapsed="false">
      <c r="A458" s="46" t="s">
        <v>2369</v>
      </c>
      <c r="B458" s="24" t="s">
        <v>1656</v>
      </c>
      <c r="C458" s="24" t="s">
        <v>1375</v>
      </c>
      <c r="D458" s="24" t="n">
        <v>4</v>
      </c>
      <c r="E458" s="24" t="s">
        <v>1920</v>
      </c>
    </row>
    <row r="459" customFormat="false" ht="15" hidden="false" customHeight="true" outlineLevel="0" collapsed="false">
      <c r="A459" s="46" t="s">
        <v>2370</v>
      </c>
      <c r="B459" s="24" t="s">
        <v>1656</v>
      </c>
      <c r="C459" s="24" t="s">
        <v>1638</v>
      </c>
      <c r="D459" s="24" t="n">
        <v>5</v>
      </c>
      <c r="E459" s="24" t="s">
        <v>1915</v>
      </c>
    </row>
    <row r="460" customFormat="false" ht="15" hidden="false" customHeight="true" outlineLevel="0" collapsed="false">
      <c r="A460" s="46" t="s">
        <v>2371</v>
      </c>
      <c r="B460" s="24" t="s">
        <v>1669</v>
      </c>
      <c r="C460" s="24" t="s">
        <v>1844</v>
      </c>
      <c r="D460" s="24" t="n">
        <v>1</v>
      </c>
      <c r="E460" s="24" t="s">
        <v>1915</v>
      </c>
    </row>
    <row r="461" customFormat="false" ht="15" hidden="false" customHeight="true" outlineLevel="0" collapsed="false">
      <c r="A461" s="46" t="s">
        <v>2372</v>
      </c>
      <c r="B461" s="24" t="s">
        <v>1669</v>
      </c>
      <c r="C461" s="24" t="s">
        <v>1656</v>
      </c>
      <c r="D461" s="24" t="n">
        <v>2</v>
      </c>
      <c r="E461" s="24" t="s">
        <v>1920</v>
      </c>
    </row>
    <row r="462" customFormat="false" ht="15" hidden="false" customHeight="true" outlineLevel="0" collapsed="false">
      <c r="A462" s="46" t="s">
        <v>2373</v>
      </c>
      <c r="B462" s="24" t="s">
        <v>1669</v>
      </c>
      <c r="C462" s="24" t="s">
        <v>1628</v>
      </c>
      <c r="D462" s="24" t="n">
        <v>3</v>
      </c>
      <c r="E462" s="24" t="s">
        <v>1920</v>
      </c>
    </row>
    <row r="463" customFormat="false" ht="15" hidden="false" customHeight="true" outlineLevel="0" collapsed="false">
      <c r="A463" s="46" t="s">
        <v>2374</v>
      </c>
      <c r="B463" s="24" t="s">
        <v>1669</v>
      </c>
      <c r="C463" s="24" t="s">
        <v>1683</v>
      </c>
      <c r="D463" s="24" t="n">
        <v>4</v>
      </c>
      <c r="E463" s="24" t="s">
        <v>1920</v>
      </c>
    </row>
    <row r="464" customFormat="false" ht="15" hidden="false" customHeight="true" outlineLevel="0" collapsed="false">
      <c r="A464" s="46" t="s">
        <v>2375</v>
      </c>
      <c r="B464" s="24" t="s">
        <v>1683</v>
      </c>
      <c r="C464" s="24" t="s">
        <v>1656</v>
      </c>
      <c r="D464" s="24" t="n">
        <v>1</v>
      </c>
      <c r="E464" s="24" t="s">
        <v>1915</v>
      </c>
    </row>
    <row r="465" customFormat="false" ht="15" hidden="false" customHeight="true" outlineLevel="0" collapsed="false">
      <c r="A465" s="46" t="s">
        <v>2376</v>
      </c>
      <c r="B465" s="24" t="s">
        <v>1683</v>
      </c>
      <c r="C465" s="24" t="s">
        <v>1375</v>
      </c>
      <c r="D465" s="24" t="n">
        <v>2</v>
      </c>
      <c r="E465" s="24" t="s">
        <v>1920</v>
      </c>
    </row>
    <row r="466" customFormat="false" ht="15" hidden="false" customHeight="true" outlineLevel="0" collapsed="false">
      <c r="A466" s="46" t="s">
        <v>2377</v>
      </c>
      <c r="B466" s="24" t="s">
        <v>1683</v>
      </c>
      <c r="C466" s="24" t="s">
        <v>1638</v>
      </c>
      <c r="D466" s="24" t="n">
        <v>3</v>
      </c>
      <c r="E466" s="24" t="s">
        <v>1915</v>
      </c>
    </row>
    <row r="467" customFormat="false" ht="15" hidden="false" customHeight="true" outlineLevel="0" collapsed="false">
      <c r="A467" s="46" t="s">
        <v>2378</v>
      </c>
      <c r="B467" s="24" t="s">
        <v>1683</v>
      </c>
      <c r="C467" s="24" t="s">
        <v>1844</v>
      </c>
      <c r="D467" s="24" t="n">
        <v>4</v>
      </c>
      <c r="E467" s="24" t="s">
        <v>1920</v>
      </c>
    </row>
    <row r="468" customFormat="false" ht="15" hidden="false" customHeight="true" outlineLevel="0" collapsed="false">
      <c r="A468" s="46" t="s">
        <v>2379</v>
      </c>
      <c r="B468" s="24" t="s">
        <v>1695</v>
      </c>
      <c r="C468" s="24" t="s">
        <v>1709</v>
      </c>
      <c r="D468" s="24" t="n">
        <v>1</v>
      </c>
      <c r="E468" s="24" t="s">
        <v>1915</v>
      </c>
    </row>
    <row r="469" customFormat="false" ht="15" hidden="false" customHeight="true" outlineLevel="0" collapsed="false">
      <c r="A469" s="46" t="s">
        <v>2380</v>
      </c>
      <c r="B469" s="24" t="s">
        <v>1695</v>
      </c>
      <c r="C469" s="24" t="s">
        <v>1844</v>
      </c>
      <c r="D469" s="24" t="n">
        <v>2</v>
      </c>
      <c r="E469" s="24" t="s">
        <v>1915</v>
      </c>
    </row>
    <row r="470" customFormat="false" ht="15" hidden="false" customHeight="true" outlineLevel="0" collapsed="false">
      <c r="A470" s="46" t="s">
        <v>2381</v>
      </c>
      <c r="B470" s="24" t="s">
        <v>1695</v>
      </c>
      <c r="C470" s="24" t="s">
        <v>1669</v>
      </c>
      <c r="D470" s="24" t="n">
        <v>3</v>
      </c>
      <c r="E470" s="24" t="s">
        <v>1915</v>
      </c>
    </row>
    <row r="471" customFormat="false" ht="15" hidden="false" customHeight="true" outlineLevel="0" collapsed="false">
      <c r="A471" s="46" t="s">
        <v>2382</v>
      </c>
      <c r="B471" s="24" t="s">
        <v>1695</v>
      </c>
      <c r="C471" s="24" t="s">
        <v>1638</v>
      </c>
      <c r="D471" s="24" t="n">
        <v>4</v>
      </c>
      <c r="E471" s="24" t="s">
        <v>1920</v>
      </c>
    </row>
    <row r="472" customFormat="false" ht="15" hidden="false" customHeight="true" outlineLevel="0" collapsed="false">
      <c r="A472" s="46" t="s">
        <v>2383</v>
      </c>
      <c r="B472" s="24" t="s">
        <v>1695</v>
      </c>
      <c r="C472" s="24" t="s">
        <v>1656</v>
      </c>
      <c r="D472" s="24" t="n">
        <v>5</v>
      </c>
      <c r="E472" s="24" t="s">
        <v>1920</v>
      </c>
    </row>
    <row r="473" customFormat="false" ht="15" hidden="false" customHeight="true" outlineLevel="0" collapsed="false">
      <c r="A473" s="46" t="s">
        <v>2384</v>
      </c>
      <c r="B473" s="24" t="s">
        <v>1709</v>
      </c>
      <c r="C473" s="24" t="s">
        <v>1695</v>
      </c>
      <c r="D473" s="24" t="n">
        <v>1</v>
      </c>
      <c r="E473" s="24" t="s">
        <v>1915</v>
      </c>
    </row>
    <row r="474" customFormat="false" ht="15" hidden="false" customHeight="true" outlineLevel="0" collapsed="false">
      <c r="A474" s="46" t="s">
        <v>2385</v>
      </c>
      <c r="B474" s="24" t="s">
        <v>1709</v>
      </c>
      <c r="C474" s="24" t="s">
        <v>1844</v>
      </c>
      <c r="D474" s="24" t="n">
        <v>2</v>
      </c>
      <c r="E474" s="24" t="s">
        <v>1915</v>
      </c>
    </row>
    <row r="475" customFormat="false" ht="15" hidden="false" customHeight="true" outlineLevel="0" collapsed="false">
      <c r="A475" s="46" t="s">
        <v>2386</v>
      </c>
      <c r="B475" s="24" t="s">
        <v>1709</v>
      </c>
      <c r="C475" s="24" t="s">
        <v>1669</v>
      </c>
      <c r="D475" s="24" t="n">
        <v>3</v>
      </c>
      <c r="E475" s="24" t="s">
        <v>1915</v>
      </c>
    </row>
    <row r="476" customFormat="false" ht="15" hidden="false" customHeight="true" outlineLevel="0" collapsed="false">
      <c r="A476" s="46" t="s">
        <v>2387</v>
      </c>
      <c r="B476" s="24" t="s">
        <v>1709</v>
      </c>
      <c r="C476" s="24" t="s">
        <v>1638</v>
      </c>
      <c r="D476" s="24" t="n">
        <v>4</v>
      </c>
      <c r="E476" s="24" t="s">
        <v>1920</v>
      </c>
    </row>
    <row r="477" customFormat="false" ht="15" hidden="false" customHeight="true" outlineLevel="0" collapsed="false">
      <c r="A477" s="46" t="s">
        <v>2388</v>
      </c>
      <c r="B477" s="24" t="s">
        <v>1709</v>
      </c>
      <c r="C477" s="24" t="s">
        <v>1656</v>
      </c>
      <c r="D477" s="24" t="n">
        <v>5</v>
      </c>
      <c r="E477" s="24" t="s">
        <v>1920</v>
      </c>
    </row>
    <row r="478" customFormat="false" ht="15" hidden="false" customHeight="true" outlineLevel="0" collapsed="false">
      <c r="A478" s="46" t="s">
        <v>2389</v>
      </c>
      <c r="B478" s="24" t="s">
        <v>1723</v>
      </c>
      <c r="C478" s="24" t="s">
        <v>592</v>
      </c>
      <c r="D478" s="24" t="n">
        <v>1</v>
      </c>
      <c r="E478" s="24" t="s">
        <v>1915</v>
      </c>
    </row>
    <row r="479" customFormat="false" ht="15" hidden="false" customHeight="true" outlineLevel="0" collapsed="false">
      <c r="A479" s="46" t="s">
        <v>2390</v>
      </c>
      <c r="B479" s="24" t="s">
        <v>1723</v>
      </c>
      <c r="C479" s="24" t="s">
        <v>1737</v>
      </c>
      <c r="D479" s="24" t="n">
        <v>2</v>
      </c>
      <c r="E479" s="24" t="s">
        <v>1915</v>
      </c>
    </row>
    <row r="480" customFormat="false" ht="15" hidden="false" customHeight="true" outlineLevel="0" collapsed="false">
      <c r="A480" s="46" t="s">
        <v>2391</v>
      </c>
      <c r="B480" s="24" t="s">
        <v>1723</v>
      </c>
      <c r="C480" s="24" t="s">
        <v>722</v>
      </c>
      <c r="D480" s="24" t="n">
        <v>3</v>
      </c>
      <c r="E480" s="24" t="s">
        <v>1915</v>
      </c>
    </row>
    <row r="481" customFormat="false" ht="15" hidden="false" customHeight="true" outlineLevel="0" collapsed="false">
      <c r="A481" s="46" t="s">
        <v>2392</v>
      </c>
      <c r="B481" s="24" t="s">
        <v>1723</v>
      </c>
      <c r="C481" s="24" t="s">
        <v>1047</v>
      </c>
      <c r="D481" s="24" t="n">
        <v>4</v>
      </c>
      <c r="E481" s="24" t="s">
        <v>1920</v>
      </c>
    </row>
    <row r="482" customFormat="false" ht="15" hidden="false" customHeight="true" outlineLevel="0" collapsed="false">
      <c r="A482" s="46" t="s">
        <v>2393</v>
      </c>
      <c r="B482" s="24" t="s">
        <v>1723</v>
      </c>
      <c r="C482" s="24" t="s">
        <v>1140</v>
      </c>
      <c r="D482" s="24" t="n">
        <v>5</v>
      </c>
      <c r="E482" s="24" t="s">
        <v>1920</v>
      </c>
    </row>
    <row r="483" customFormat="false" ht="15" hidden="false" customHeight="true" outlineLevel="0" collapsed="false">
      <c r="A483" s="46" t="s">
        <v>2394</v>
      </c>
      <c r="B483" s="24" t="s">
        <v>1723</v>
      </c>
      <c r="C483" s="24" t="s">
        <v>893</v>
      </c>
      <c r="D483" s="24" t="n">
        <v>6</v>
      </c>
      <c r="E483" s="24" t="s">
        <v>1920</v>
      </c>
    </row>
    <row r="484" customFormat="false" ht="15" hidden="false" customHeight="true" outlineLevel="0" collapsed="false">
      <c r="A484" s="46" t="s">
        <v>2395</v>
      </c>
      <c r="B484" s="24" t="s">
        <v>1737</v>
      </c>
      <c r="C484" s="24" t="s">
        <v>1723</v>
      </c>
      <c r="D484" s="24" t="n">
        <v>1</v>
      </c>
      <c r="E484" s="24" t="s">
        <v>1915</v>
      </c>
    </row>
    <row r="485" customFormat="false" ht="15" hidden="false" customHeight="true" outlineLevel="0" collapsed="false">
      <c r="A485" s="46" t="s">
        <v>2396</v>
      </c>
      <c r="B485" s="24" t="s">
        <v>1737</v>
      </c>
      <c r="C485" s="24" t="s">
        <v>1047</v>
      </c>
      <c r="D485" s="24" t="n">
        <v>2</v>
      </c>
      <c r="E485" s="24" t="s">
        <v>1920</v>
      </c>
    </row>
    <row r="486" customFormat="false" ht="15" hidden="false" customHeight="true" outlineLevel="0" collapsed="false">
      <c r="A486" s="46" t="s">
        <v>2397</v>
      </c>
      <c r="B486" s="24" t="s">
        <v>1737</v>
      </c>
      <c r="C486" s="24" t="s">
        <v>722</v>
      </c>
      <c r="D486" s="24" t="n">
        <v>3</v>
      </c>
      <c r="E486" s="24" t="s">
        <v>1915</v>
      </c>
    </row>
    <row r="487" customFormat="false" ht="15" hidden="false" customHeight="true" outlineLevel="0" collapsed="false">
      <c r="A487" s="46" t="s">
        <v>2398</v>
      </c>
      <c r="B487" s="24" t="s">
        <v>1737</v>
      </c>
      <c r="C487" s="24" t="s">
        <v>1140</v>
      </c>
      <c r="D487" s="24" t="n">
        <v>4</v>
      </c>
      <c r="E487" s="24" t="s">
        <v>1920</v>
      </c>
    </row>
    <row r="488" customFormat="false" ht="15" hidden="false" customHeight="true" outlineLevel="0" collapsed="false">
      <c r="A488" s="46" t="s">
        <v>2399</v>
      </c>
      <c r="B488" s="24" t="s">
        <v>1737</v>
      </c>
      <c r="C488" s="24" t="s">
        <v>1152</v>
      </c>
      <c r="D488" s="24" t="n">
        <v>5</v>
      </c>
      <c r="E488" s="24" t="s">
        <v>1920</v>
      </c>
    </row>
    <row r="489" customFormat="false" ht="15" hidden="false" customHeight="true" outlineLevel="0" collapsed="false">
      <c r="A489" s="46" t="s">
        <v>2400</v>
      </c>
      <c r="B489" s="24" t="s">
        <v>1737</v>
      </c>
      <c r="C489" s="24" t="s">
        <v>1076</v>
      </c>
      <c r="D489" s="24" t="n">
        <v>6</v>
      </c>
      <c r="E489" s="24" t="s">
        <v>1920</v>
      </c>
    </row>
    <row r="490" customFormat="false" ht="15" hidden="false" customHeight="true" outlineLevel="0" collapsed="false">
      <c r="A490" s="46" t="s">
        <v>2401</v>
      </c>
      <c r="B490" s="24" t="s">
        <v>1737</v>
      </c>
      <c r="C490" s="24" t="s">
        <v>1193</v>
      </c>
      <c r="D490" s="24" t="n">
        <v>7</v>
      </c>
      <c r="E490" s="24" t="s">
        <v>1920</v>
      </c>
    </row>
    <row r="491" customFormat="false" ht="15" hidden="false" customHeight="true" outlineLevel="0" collapsed="false">
      <c r="A491" s="46" t="s">
        <v>2402</v>
      </c>
      <c r="B491" s="24" t="s">
        <v>1748</v>
      </c>
      <c r="C491" s="24" t="s">
        <v>684</v>
      </c>
      <c r="D491" s="24" t="n">
        <v>1</v>
      </c>
      <c r="E491" s="24" t="s">
        <v>1915</v>
      </c>
    </row>
    <row r="492" customFormat="false" ht="15" hidden="false" customHeight="true" outlineLevel="0" collapsed="false">
      <c r="A492" s="46" t="s">
        <v>2403</v>
      </c>
      <c r="B492" s="24" t="s">
        <v>1748</v>
      </c>
      <c r="C492" s="24" t="s">
        <v>698</v>
      </c>
      <c r="D492" s="24" t="n">
        <v>2</v>
      </c>
      <c r="E492" s="24" t="s">
        <v>1915</v>
      </c>
    </row>
    <row r="493" customFormat="false" ht="15" hidden="false" customHeight="true" outlineLevel="0" collapsed="false">
      <c r="A493" s="46" t="s">
        <v>2404</v>
      </c>
      <c r="B493" s="24" t="s">
        <v>1748</v>
      </c>
      <c r="C493" s="24" t="s">
        <v>627</v>
      </c>
      <c r="D493" s="24" t="n">
        <v>3</v>
      </c>
      <c r="E493" s="24" t="s">
        <v>1915</v>
      </c>
    </row>
    <row r="494" customFormat="false" ht="15" hidden="false" customHeight="true" outlineLevel="0" collapsed="false">
      <c r="A494" s="46" t="s">
        <v>2405</v>
      </c>
      <c r="B494" s="24" t="s">
        <v>1748</v>
      </c>
      <c r="C494" s="24" t="s">
        <v>671</v>
      </c>
      <c r="D494" s="24" t="n">
        <v>4</v>
      </c>
      <c r="E494" s="24" t="s">
        <v>1915</v>
      </c>
    </row>
    <row r="495" customFormat="false" ht="15" hidden="false" customHeight="true" outlineLevel="0" collapsed="false">
      <c r="A495" s="46" t="s">
        <v>2406</v>
      </c>
      <c r="B495" s="24" t="s">
        <v>1760</v>
      </c>
      <c r="C495" s="24" t="s">
        <v>657</v>
      </c>
      <c r="D495" s="24" t="n">
        <v>1</v>
      </c>
      <c r="E495" s="24" t="s">
        <v>1915</v>
      </c>
    </row>
    <row r="496" customFormat="false" ht="15" hidden="false" customHeight="true" outlineLevel="0" collapsed="false">
      <c r="A496" s="46" t="s">
        <v>2407</v>
      </c>
      <c r="B496" s="24" t="s">
        <v>1760</v>
      </c>
      <c r="C496" s="24" t="s">
        <v>640</v>
      </c>
      <c r="D496" s="24" t="n">
        <v>2</v>
      </c>
      <c r="E496" s="24" t="s">
        <v>1915</v>
      </c>
    </row>
    <row r="497" customFormat="false" ht="15" hidden="false" customHeight="true" outlineLevel="0" collapsed="false">
      <c r="A497" s="46" t="s">
        <v>2408</v>
      </c>
      <c r="B497" s="24" t="s">
        <v>1760</v>
      </c>
      <c r="C497" s="24" t="s">
        <v>736</v>
      </c>
      <c r="D497" s="24" t="n">
        <v>3</v>
      </c>
      <c r="E497" s="24" t="s">
        <v>1915</v>
      </c>
    </row>
    <row r="498" customFormat="false" ht="15" hidden="false" customHeight="true" outlineLevel="0" collapsed="false">
      <c r="A498" s="46" t="s">
        <v>2409</v>
      </c>
      <c r="B498" s="24" t="s">
        <v>1760</v>
      </c>
      <c r="C498" s="24" t="s">
        <v>684</v>
      </c>
      <c r="D498" s="24" t="n">
        <v>4</v>
      </c>
      <c r="E498" s="24" t="s">
        <v>1920</v>
      </c>
    </row>
    <row r="499" customFormat="false" ht="15" hidden="false" customHeight="true" outlineLevel="0" collapsed="false">
      <c r="A499" s="46" t="s">
        <v>2410</v>
      </c>
      <c r="B499" s="24" t="s">
        <v>1760</v>
      </c>
      <c r="C499" s="24" t="s">
        <v>710</v>
      </c>
      <c r="D499" s="24" t="n">
        <v>5</v>
      </c>
      <c r="E499" s="24" t="s">
        <v>1915</v>
      </c>
    </row>
    <row r="500" customFormat="false" ht="15" hidden="false" customHeight="true" outlineLevel="0" collapsed="false">
      <c r="A500" s="46" t="s">
        <v>2411</v>
      </c>
      <c r="B500" s="24" t="s">
        <v>1774</v>
      </c>
      <c r="C500" s="24" t="s">
        <v>764</v>
      </c>
      <c r="D500" s="24" t="n">
        <v>1</v>
      </c>
      <c r="E500" s="24" t="s">
        <v>1915</v>
      </c>
    </row>
    <row r="501" customFormat="false" ht="15" hidden="false" customHeight="true" outlineLevel="0" collapsed="false">
      <c r="A501" s="46" t="s">
        <v>2412</v>
      </c>
      <c r="B501" s="24" t="s">
        <v>1774</v>
      </c>
      <c r="C501" s="24" t="s">
        <v>831</v>
      </c>
      <c r="D501" s="24" t="n">
        <v>2</v>
      </c>
      <c r="E501" s="24" t="s">
        <v>1915</v>
      </c>
    </row>
    <row r="502" customFormat="false" ht="15" hidden="false" customHeight="true" outlineLevel="0" collapsed="false">
      <c r="A502" s="46" t="s">
        <v>2413</v>
      </c>
      <c r="B502" s="24" t="s">
        <v>1774</v>
      </c>
      <c r="C502" s="24" t="s">
        <v>842</v>
      </c>
      <c r="D502" s="24" t="n">
        <v>3</v>
      </c>
      <c r="E502" s="24" t="s">
        <v>1915</v>
      </c>
    </row>
    <row r="503" customFormat="false" ht="15" hidden="false" customHeight="true" outlineLevel="0" collapsed="false">
      <c r="A503" s="46" t="s">
        <v>2414</v>
      </c>
      <c r="B503" s="24" t="s">
        <v>1774</v>
      </c>
      <c r="C503" s="24" t="s">
        <v>749</v>
      </c>
      <c r="D503" s="24" t="n">
        <v>4</v>
      </c>
      <c r="E503" s="24" t="s">
        <v>1915</v>
      </c>
    </row>
    <row r="504" customFormat="false" ht="15" hidden="false" customHeight="true" outlineLevel="0" collapsed="false">
      <c r="A504" s="46" t="s">
        <v>2415</v>
      </c>
      <c r="B504" s="24" t="s">
        <v>1774</v>
      </c>
      <c r="C504" s="24" t="s">
        <v>854</v>
      </c>
      <c r="D504" s="24" t="n">
        <v>5</v>
      </c>
      <c r="E504" s="24" t="s">
        <v>1920</v>
      </c>
    </row>
    <row r="505" customFormat="false" ht="15" hidden="false" customHeight="true" outlineLevel="0" collapsed="false">
      <c r="A505" s="46" t="s">
        <v>2416</v>
      </c>
      <c r="B505" s="24" t="s">
        <v>1785</v>
      </c>
      <c r="C505" s="24" t="s">
        <v>802</v>
      </c>
      <c r="D505" s="24" t="n">
        <v>1</v>
      </c>
      <c r="E505" s="24" t="s">
        <v>1915</v>
      </c>
    </row>
    <row r="506" customFormat="false" ht="15" hidden="false" customHeight="true" outlineLevel="0" collapsed="false">
      <c r="A506" s="46" t="s">
        <v>2417</v>
      </c>
      <c r="B506" s="24" t="s">
        <v>1785</v>
      </c>
      <c r="C506" s="24" t="s">
        <v>817</v>
      </c>
      <c r="D506" s="24" t="n">
        <v>2</v>
      </c>
      <c r="E506" s="24" t="s">
        <v>1915</v>
      </c>
    </row>
    <row r="507" customFormat="false" ht="15" hidden="false" customHeight="true" outlineLevel="0" collapsed="false">
      <c r="A507" s="46" t="s">
        <v>2418</v>
      </c>
      <c r="B507" s="24" t="s">
        <v>1785</v>
      </c>
      <c r="C507" s="24" t="s">
        <v>866</v>
      </c>
      <c r="D507" s="24" t="n">
        <v>3</v>
      </c>
      <c r="E507" s="24" t="s">
        <v>1915</v>
      </c>
    </row>
    <row r="508" customFormat="false" ht="15" hidden="false" customHeight="true" outlineLevel="0" collapsed="false">
      <c r="A508" s="46" t="s">
        <v>2419</v>
      </c>
      <c r="B508" s="24" t="s">
        <v>1795</v>
      </c>
      <c r="C508" s="24" t="s">
        <v>997</v>
      </c>
      <c r="D508" s="24" t="n">
        <v>1</v>
      </c>
      <c r="E508" s="24" t="s">
        <v>1915</v>
      </c>
    </row>
    <row r="509" customFormat="false" ht="15" hidden="false" customHeight="true" outlineLevel="0" collapsed="false">
      <c r="A509" s="46" t="s">
        <v>2420</v>
      </c>
      <c r="B509" s="24" t="s">
        <v>1795</v>
      </c>
      <c r="C509" s="24" t="s">
        <v>958</v>
      </c>
      <c r="D509" s="24" t="n">
        <v>2</v>
      </c>
      <c r="E509" s="24" t="s">
        <v>1915</v>
      </c>
    </row>
    <row r="510" customFormat="false" ht="15" hidden="false" customHeight="true" outlineLevel="0" collapsed="false">
      <c r="A510" s="46" t="s">
        <v>2421</v>
      </c>
      <c r="B510" s="24" t="s">
        <v>1795</v>
      </c>
      <c r="C510" s="24" t="s">
        <v>1018</v>
      </c>
      <c r="D510" s="24" t="n">
        <v>3</v>
      </c>
      <c r="E510" s="24" t="s">
        <v>1920</v>
      </c>
    </row>
    <row r="511" customFormat="false" ht="15" hidden="false" customHeight="true" outlineLevel="0" collapsed="false">
      <c r="A511" s="46" t="s">
        <v>2422</v>
      </c>
      <c r="B511" s="24" t="s">
        <v>1795</v>
      </c>
      <c r="C511" s="24" t="s">
        <v>986</v>
      </c>
      <c r="D511" s="24" t="n">
        <v>4</v>
      </c>
      <c r="E511" s="24" t="s">
        <v>1920</v>
      </c>
    </row>
    <row r="512" customFormat="false" ht="15" hidden="false" customHeight="true" outlineLevel="0" collapsed="false">
      <c r="A512" s="46" t="s">
        <v>2423</v>
      </c>
      <c r="B512" s="24" t="s">
        <v>1808</v>
      </c>
      <c r="C512" s="24" t="s">
        <v>1166</v>
      </c>
      <c r="D512" s="24" t="n">
        <v>1</v>
      </c>
      <c r="E512" s="24" t="s">
        <v>1915</v>
      </c>
    </row>
    <row r="513" customFormat="false" ht="15" hidden="false" customHeight="true" outlineLevel="0" collapsed="false">
      <c r="A513" s="46" t="s">
        <v>2424</v>
      </c>
      <c r="B513" s="24" t="s">
        <v>1808</v>
      </c>
      <c r="C513" s="24" t="s">
        <v>1181</v>
      </c>
      <c r="D513" s="24" t="n">
        <v>2</v>
      </c>
      <c r="E513" s="24" t="s">
        <v>1920</v>
      </c>
    </row>
    <row r="514" customFormat="false" ht="15" hidden="false" customHeight="true" outlineLevel="0" collapsed="false">
      <c r="A514" s="46" t="s">
        <v>2425</v>
      </c>
      <c r="B514" s="24" t="s">
        <v>1808</v>
      </c>
      <c r="C514" s="24" t="s">
        <v>1076</v>
      </c>
      <c r="D514" s="24" t="n">
        <v>3</v>
      </c>
      <c r="E514" s="24" t="s">
        <v>1920</v>
      </c>
    </row>
    <row r="515" customFormat="false" ht="15" hidden="false" customHeight="true" outlineLevel="0" collapsed="false">
      <c r="A515" s="46" t="s">
        <v>2426</v>
      </c>
      <c r="B515" s="24" t="s">
        <v>1808</v>
      </c>
      <c r="C515" s="24" t="s">
        <v>1460</v>
      </c>
      <c r="D515" s="24" t="n">
        <v>4</v>
      </c>
      <c r="E515" s="24" t="s">
        <v>1920</v>
      </c>
    </row>
    <row r="516" customFormat="false" ht="15" hidden="false" customHeight="true" outlineLevel="0" collapsed="false">
      <c r="A516" s="46" t="s">
        <v>2427</v>
      </c>
      <c r="B516" s="24" t="s">
        <v>1819</v>
      </c>
      <c r="C516" s="24" t="s">
        <v>1103</v>
      </c>
      <c r="D516" s="24" t="n">
        <v>1</v>
      </c>
      <c r="E516" s="24" t="s">
        <v>1915</v>
      </c>
    </row>
    <row r="517" customFormat="false" ht="15" hidden="false" customHeight="true" outlineLevel="0" collapsed="false">
      <c r="A517" s="46" t="s">
        <v>2428</v>
      </c>
      <c r="B517" s="24" t="s">
        <v>1819</v>
      </c>
      <c r="C517" s="24" t="s">
        <v>1087</v>
      </c>
      <c r="D517" s="24" t="n">
        <v>2</v>
      </c>
      <c r="E517" s="24" t="s">
        <v>1915</v>
      </c>
    </row>
    <row r="518" customFormat="false" ht="15" hidden="false" customHeight="true" outlineLevel="0" collapsed="false">
      <c r="A518" s="46" t="s">
        <v>2429</v>
      </c>
      <c r="B518" s="24" t="s">
        <v>1819</v>
      </c>
      <c r="C518" s="24" t="s">
        <v>1114</v>
      </c>
      <c r="D518" s="24" t="n">
        <v>3</v>
      </c>
      <c r="E518" s="24" t="s">
        <v>1915</v>
      </c>
    </row>
    <row r="519" customFormat="false" ht="15" hidden="false" customHeight="true" outlineLevel="0" collapsed="false">
      <c r="A519" s="46" t="s">
        <v>2430</v>
      </c>
      <c r="B519" s="24" t="s">
        <v>1819</v>
      </c>
      <c r="C519" s="24" t="s">
        <v>1181</v>
      </c>
      <c r="D519" s="24" t="n">
        <v>4</v>
      </c>
      <c r="E519" s="24" t="s">
        <v>1920</v>
      </c>
    </row>
    <row r="520" customFormat="false" ht="15" hidden="false" customHeight="true" outlineLevel="0" collapsed="false">
      <c r="A520" s="46" t="s">
        <v>2431</v>
      </c>
      <c r="B520" s="24" t="s">
        <v>1831</v>
      </c>
      <c r="C520" s="24" t="s">
        <v>1497</v>
      </c>
      <c r="D520" s="24" t="n">
        <v>1</v>
      </c>
      <c r="E520" s="24" t="s">
        <v>1915</v>
      </c>
    </row>
    <row r="521" customFormat="false" ht="15" hidden="false" customHeight="true" outlineLevel="0" collapsed="false">
      <c r="A521" s="46" t="s">
        <v>2432</v>
      </c>
      <c r="B521" s="24" t="s">
        <v>1831</v>
      </c>
      <c r="C521" s="24" t="s">
        <v>1416</v>
      </c>
      <c r="D521" s="24" t="n">
        <v>2</v>
      </c>
      <c r="E521" s="24" t="s">
        <v>1915</v>
      </c>
    </row>
    <row r="522" customFormat="false" ht="15" hidden="false" customHeight="true" outlineLevel="0" collapsed="false">
      <c r="A522" s="46" t="s">
        <v>2433</v>
      </c>
      <c r="B522" s="24" t="s">
        <v>1831</v>
      </c>
      <c r="C522" s="24" t="s">
        <v>1460</v>
      </c>
      <c r="D522" s="24" t="n">
        <v>3</v>
      </c>
      <c r="E522" s="24" t="s">
        <v>1920</v>
      </c>
    </row>
    <row r="523" customFormat="false" ht="15" hidden="false" customHeight="true" outlineLevel="0" collapsed="false">
      <c r="A523" s="46" t="s">
        <v>2434</v>
      </c>
      <c r="B523" s="24" t="s">
        <v>1831</v>
      </c>
      <c r="C523" s="24" t="s">
        <v>1431</v>
      </c>
      <c r="D523" s="24" t="n">
        <v>4</v>
      </c>
      <c r="E523" s="24" t="s">
        <v>1920</v>
      </c>
    </row>
    <row r="524" customFormat="false" ht="15" hidden="false" customHeight="true" outlineLevel="0" collapsed="false">
      <c r="A524" s="46" t="s">
        <v>2435</v>
      </c>
      <c r="B524" s="24" t="s">
        <v>1844</v>
      </c>
      <c r="C524" s="24" t="s">
        <v>1669</v>
      </c>
      <c r="D524" s="24" t="n">
        <v>1</v>
      </c>
      <c r="E524" s="24" t="s">
        <v>1915</v>
      </c>
    </row>
    <row r="525" customFormat="false" ht="15" hidden="false" customHeight="true" outlineLevel="0" collapsed="false">
      <c r="A525" s="46" t="s">
        <v>2436</v>
      </c>
      <c r="B525" s="24" t="s">
        <v>1844</v>
      </c>
      <c r="C525" s="24" t="s">
        <v>1656</v>
      </c>
      <c r="D525" s="24" t="n">
        <v>2</v>
      </c>
      <c r="E525" s="24" t="s">
        <v>1920</v>
      </c>
    </row>
    <row r="526" customFormat="false" ht="15" hidden="false" customHeight="true" outlineLevel="0" collapsed="false">
      <c r="A526" s="46" t="s">
        <v>2437</v>
      </c>
      <c r="B526" s="24" t="s">
        <v>1844</v>
      </c>
      <c r="C526" s="24" t="s">
        <v>1683</v>
      </c>
      <c r="D526" s="24" t="n">
        <v>3</v>
      </c>
      <c r="E526" s="24" t="s">
        <v>1920</v>
      </c>
    </row>
    <row r="527" customFormat="false" ht="15" hidden="false" customHeight="true" outlineLevel="0" collapsed="false">
      <c r="A527" s="46" t="s">
        <v>2438</v>
      </c>
      <c r="B527" s="24" t="s">
        <v>1844</v>
      </c>
      <c r="C527" s="24" t="s">
        <v>1638</v>
      </c>
      <c r="D527" s="24" t="n">
        <v>4</v>
      </c>
      <c r="E527" s="24" t="s">
        <v>1920</v>
      </c>
    </row>
    <row r="528" customFormat="false" ht="15" hidden="false" customHeight="true" outlineLevel="0" collapsed="false">
      <c r="A528" s="46" t="s">
        <v>2439</v>
      </c>
      <c r="B528" s="24" t="s">
        <v>1856</v>
      </c>
      <c r="C528" s="24" t="s">
        <v>1583</v>
      </c>
      <c r="D528" s="24" t="n">
        <v>1</v>
      </c>
      <c r="E528" s="24" t="s">
        <v>1915</v>
      </c>
    </row>
    <row r="529" customFormat="false" ht="15" hidden="false" customHeight="true" outlineLevel="0" collapsed="false">
      <c r="A529" s="46" t="s">
        <v>2440</v>
      </c>
      <c r="B529" s="24" t="s">
        <v>1856</v>
      </c>
      <c r="C529" s="24" t="s">
        <v>1140</v>
      </c>
      <c r="D529" s="24" t="n">
        <v>2</v>
      </c>
      <c r="E529" s="24" t="s">
        <v>1920</v>
      </c>
    </row>
    <row r="530" customFormat="false" ht="15" hidden="false" customHeight="true" outlineLevel="0" collapsed="false">
      <c r="A530" s="46" t="s">
        <v>2441</v>
      </c>
      <c r="B530" s="24" t="s">
        <v>1856</v>
      </c>
      <c r="C530" s="24" t="s">
        <v>1047</v>
      </c>
      <c r="D530" s="24" t="n">
        <v>3</v>
      </c>
      <c r="E530" s="24" t="s">
        <v>1920</v>
      </c>
    </row>
    <row r="531" customFormat="false" ht="15" hidden="false" customHeight="true" outlineLevel="0" collapsed="false">
      <c r="A531" s="46" t="s">
        <v>2442</v>
      </c>
      <c r="B531" s="24" t="s">
        <v>1856</v>
      </c>
      <c r="C531" s="24" t="s">
        <v>1035</v>
      </c>
      <c r="D531" s="24" t="n">
        <v>4</v>
      </c>
      <c r="E531" s="24" t="s">
        <v>1920</v>
      </c>
    </row>
    <row r="532" customFormat="false" ht="15" hidden="false" customHeight="true" outlineLevel="0" collapsed="false">
      <c r="A532" s="46" t="s">
        <v>2443</v>
      </c>
      <c r="B532" s="24" t="s">
        <v>1856</v>
      </c>
      <c r="C532" s="24" t="s">
        <v>1669</v>
      </c>
      <c r="D532" s="24" t="n">
        <v>5</v>
      </c>
      <c r="E532" s="24" t="s">
        <v>1920</v>
      </c>
    </row>
    <row r="533" customFormat="false" ht="15" hidden="false" customHeight="true" outlineLevel="0" collapsed="false">
      <c r="A533" s="46" t="s">
        <v>2444</v>
      </c>
      <c r="B533" s="46" t="s">
        <v>1868</v>
      </c>
      <c r="C533" s="46" t="s">
        <v>1709</v>
      </c>
      <c r="D533" s="24" t="n">
        <v>1</v>
      </c>
      <c r="E533" s="46" t="s">
        <v>1915</v>
      </c>
    </row>
    <row r="534" customFormat="false" ht="15" hidden="false" customHeight="true" outlineLevel="0" collapsed="false">
      <c r="A534" s="46" t="s">
        <v>2445</v>
      </c>
      <c r="B534" s="46" t="s">
        <v>1868</v>
      </c>
      <c r="C534" s="46" t="s">
        <v>1882</v>
      </c>
      <c r="D534" s="24" t="n">
        <v>2</v>
      </c>
      <c r="E534" s="46" t="s">
        <v>1915</v>
      </c>
    </row>
    <row r="535" customFormat="false" ht="15" hidden="false" customHeight="true" outlineLevel="0" collapsed="false">
      <c r="A535" s="46" t="s">
        <v>2446</v>
      </c>
      <c r="B535" s="46" t="s">
        <v>1868</v>
      </c>
      <c r="C535" s="46" t="s">
        <v>1695</v>
      </c>
      <c r="D535" s="24" t="n">
        <v>3</v>
      </c>
      <c r="E535" s="46" t="s">
        <v>1915</v>
      </c>
    </row>
    <row r="536" customFormat="false" ht="15" hidden="false" customHeight="true" outlineLevel="0" collapsed="false">
      <c r="A536" s="46" t="s">
        <v>2447</v>
      </c>
      <c r="B536" s="46" t="s">
        <v>1868</v>
      </c>
      <c r="C536" s="46" t="s">
        <v>1844</v>
      </c>
      <c r="D536" s="24" t="n">
        <v>4</v>
      </c>
      <c r="E536" s="46" t="s">
        <v>1915</v>
      </c>
    </row>
    <row r="537" customFormat="false" ht="15" hidden="false" customHeight="true" outlineLevel="0" collapsed="false">
      <c r="A537" s="46" t="s">
        <v>2448</v>
      </c>
      <c r="B537" s="46" t="s">
        <v>1868</v>
      </c>
      <c r="C537" s="46" t="s">
        <v>1669</v>
      </c>
      <c r="D537" s="24" t="n">
        <v>5</v>
      </c>
      <c r="E537" s="46" t="s">
        <v>1915</v>
      </c>
    </row>
    <row r="538" customFormat="false" ht="15" hidden="false" customHeight="true" outlineLevel="0" collapsed="false">
      <c r="A538" s="46" t="s">
        <v>2449</v>
      </c>
      <c r="B538" s="46" t="s">
        <v>1882</v>
      </c>
      <c r="C538" s="46" t="s">
        <v>1868</v>
      </c>
      <c r="D538" s="24" t="n">
        <v>1</v>
      </c>
      <c r="E538" s="46" t="s">
        <v>1915</v>
      </c>
    </row>
    <row r="539" customFormat="false" ht="15" hidden="false" customHeight="true" outlineLevel="0" collapsed="false">
      <c r="A539" s="46" t="s">
        <v>2450</v>
      </c>
      <c r="B539" s="46" t="s">
        <v>1882</v>
      </c>
      <c r="C539" s="46" t="s">
        <v>1709</v>
      </c>
      <c r="D539" s="24" t="n">
        <v>2</v>
      </c>
      <c r="E539" s="46" t="s">
        <v>1915</v>
      </c>
    </row>
    <row r="540" customFormat="false" ht="15" hidden="false" customHeight="true" outlineLevel="0" collapsed="false">
      <c r="A540" s="46" t="s">
        <v>2451</v>
      </c>
      <c r="B540" s="46" t="s">
        <v>1882</v>
      </c>
      <c r="C540" s="46" t="s">
        <v>1695</v>
      </c>
      <c r="D540" s="24" t="n">
        <v>3</v>
      </c>
      <c r="E540" s="46" t="s">
        <v>1915</v>
      </c>
    </row>
    <row r="541" customFormat="false" ht="15" hidden="false" customHeight="true" outlineLevel="0" collapsed="false">
      <c r="A541" s="46" t="s">
        <v>2452</v>
      </c>
      <c r="B541" s="46" t="s">
        <v>1882</v>
      </c>
      <c r="C541" s="46" t="s">
        <v>1844</v>
      </c>
      <c r="D541" s="24" t="n">
        <v>4</v>
      </c>
      <c r="E541" s="46" t="s">
        <v>1915</v>
      </c>
    </row>
    <row r="542" customFormat="false" ht="15" hidden="false" customHeight="true" outlineLevel="0" collapsed="false">
      <c r="A542" s="46" t="s">
        <v>2453</v>
      </c>
      <c r="B542" s="46" t="s">
        <v>1882</v>
      </c>
      <c r="C542" s="46" t="s">
        <v>921</v>
      </c>
      <c r="D542" s="24" t="n">
        <v>5</v>
      </c>
      <c r="E542" s="46" t="s">
        <v>1920</v>
      </c>
    </row>
    <row r="543" customFormat="false" ht="15" hidden="false" customHeight="true" outlineLevel="0" collapsed="false">
      <c r="A543" s="46" t="s">
        <v>2454</v>
      </c>
      <c r="B543" s="46" t="s">
        <v>1896</v>
      </c>
      <c r="C543" s="46" t="s">
        <v>1709</v>
      </c>
      <c r="D543" s="24" t="n">
        <v>1</v>
      </c>
      <c r="E543" s="46" t="s">
        <v>1915</v>
      </c>
    </row>
    <row r="544" customFormat="false" ht="15" hidden="false" customHeight="true" outlineLevel="0" collapsed="false">
      <c r="A544" s="46" t="s">
        <v>2455</v>
      </c>
      <c r="B544" s="46" t="s">
        <v>1896</v>
      </c>
      <c r="C544" s="46" t="s">
        <v>1868</v>
      </c>
      <c r="D544" s="24" t="n">
        <v>2</v>
      </c>
      <c r="E544" s="46" t="s">
        <v>1915</v>
      </c>
    </row>
    <row r="545" customFormat="false" ht="15" hidden="false" customHeight="true" outlineLevel="0" collapsed="false">
      <c r="A545" s="46" t="s">
        <v>2456</v>
      </c>
      <c r="B545" s="46" t="s">
        <v>1896</v>
      </c>
      <c r="C545" s="46" t="s">
        <v>1695</v>
      </c>
      <c r="D545" s="24" t="n">
        <v>3</v>
      </c>
      <c r="E545" s="46" t="s">
        <v>1915</v>
      </c>
    </row>
    <row r="546" customFormat="false" ht="15" hidden="false" customHeight="true" outlineLevel="0" collapsed="false">
      <c r="A546" s="46" t="s">
        <v>2457</v>
      </c>
      <c r="B546" s="46" t="s">
        <v>1896</v>
      </c>
      <c r="C546" s="46" t="s">
        <v>1882</v>
      </c>
      <c r="D546" s="24" t="n">
        <v>4</v>
      </c>
      <c r="E546" s="46" t="s">
        <v>1915</v>
      </c>
    </row>
  </sheetData>
  <autoFilter ref="A4:E5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34"/>
    <col collapsed="false" customWidth="true" hidden="false" outlineLevel="0" max="4" min="4" style="1" width="64"/>
    <col collapsed="false" customWidth="true" hidden="false" outlineLevel="0" max="5" min="5" style="1" width="14"/>
    <col collapsed="false" customWidth="true" hidden="false" outlineLevel="0" max="6" min="6" style="1" width="44"/>
  </cols>
  <sheetData>
    <row r="1" customFormat="false" ht="17.25" hidden="false" customHeight="true" outlineLevel="0" collapsed="false">
      <c r="A1" s="45" t="s">
        <v>2458</v>
      </c>
    </row>
    <row r="2" customFormat="false" ht="15" hidden="false" customHeight="true" outlineLevel="0" collapsed="false">
      <c r="A2" s="16" t="s">
        <v>2459</v>
      </c>
    </row>
    <row r="4" customFormat="false" ht="26.25" hidden="false" customHeight="true" outlineLevel="0" collapsed="false">
      <c r="A4" s="4" t="s">
        <v>2460</v>
      </c>
      <c r="B4" s="4" t="s">
        <v>2461</v>
      </c>
      <c r="C4" s="4" t="s">
        <v>2462</v>
      </c>
      <c r="D4" s="4" t="s">
        <v>2463</v>
      </c>
      <c r="E4" s="4" t="s">
        <v>2464</v>
      </c>
      <c r="F4" s="4" t="s">
        <v>2465</v>
      </c>
    </row>
    <row r="5" customFormat="false" ht="39" hidden="false" customHeight="true" outlineLevel="0" collapsed="false">
      <c r="A5" s="46" t="s">
        <v>2466</v>
      </c>
      <c r="B5" s="6" t="s">
        <v>2467</v>
      </c>
      <c r="C5" s="6" t="s">
        <v>2468</v>
      </c>
      <c r="D5" s="6" t="s">
        <v>2469</v>
      </c>
      <c r="E5" s="46" t="s">
        <v>2470</v>
      </c>
      <c r="F5" s="6" t="s">
        <v>2471</v>
      </c>
    </row>
    <row r="6" customFormat="false" ht="39" hidden="false" customHeight="true" outlineLevel="0" collapsed="false">
      <c r="A6" s="46" t="s">
        <v>2472</v>
      </c>
      <c r="B6" s="6" t="s">
        <v>2473</v>
      </c>
      <c r="C6" s="6" t="s">
        <v>2474</v>
      </c>
      <c r="D6" s="6" t="s">
        <v>2475</v>
      </c>
      <c r="E6" s="46" t="s">
        <v>2476</v>
      </c>
      <c r="F6" s="6" t="s">
        <v>2477</v>
      </c>
    </row>
    <row r="7" customFormat="false" ht="51.75" hidden="false" customHeight="true" outlineLevel="0" collapsed="false">
      <c r="A7" s="46" t="s">
        <v>2478</v>
      </c>
      <c r="B7" s="6" t="s">
        <v>2479</v>
      </c>
      <c r="C7" s="6" t="s">
        <v>2480</v>
      </c>
      <c r="D7" s="6" t="s">
        <v>2481</v>
      </c>
      <c r="E7" s="46" t="s">
        <v>2482</v>
      </c>
      <c r="F7" s="6" t="s">
        <v>2483</v>
      </c>
    </row>
    <row r="8" customFormat="false" ht="39" hidden="false" customHeight="true" outlineLevel="0" collapsed="false">
      <c r="A8" s="46" t="s">
        <v>2484</v>
      </c>
      <c r="B8" s="6" t="s">
        <v>2485</v>
      </c>
      <c r="C8" s="6" t="s">
        <v>2486</v>
      </c>
      <c r="D8" s="6" t="s">
        <v>2487</v>
      </c>
      <c r="E8" s="46" t="s">
        <v>2488</v>
      </c>
      <c r="F8" s="6" t="s">
        <v>2489</v>
      </c>
    </row>
    <row r="9" customFormat="false" ht="51.75" hidden="false" customHeight="true" outlineLevel="0" collapsed="false">
      <c r="A9" s="46" t="s">
        <v>2490</v>
      </c>
      <c r="B9" s="6" t="s">
        <v>2491</v>
      </c>
      <c r="C9" s="6" t="s">
        <v>2492</v>
      </c>
      <c r="D9" s="6" t="s">
        <v>2493</v>
      </c>
      <c r="E9" s="46" t="s">
        <v>2494</v>
      </c>
      <c r="F9" s="6" t="s">
        <v>2495</v>
      </c>
    </row>
    <row r="10" customFormat="false" ht="39" hidden="false" customHeight="true" outlineLevel="0" collapsed="false">
      <c r="A10" s="46" t="s">
        <v>2496</v>
      </c>
      <c r="B10" s="6" t="s">
        <v>2497</v>
      </c>
      <c r="C10" s="6" t="s">
        <v>2498</v>
      </c>
      <c r="D10" s="6" t="s">
        <v>2499</v>
      </c>
      <c r="E10" s="46" t="s">
        <v>2500</v>
      </c>
      <c r="F10" s="6" t="s">
        <v>2501</v>
      </c>
    </row>
    <row r="11" customFormat="false" ht="51.75" hidden="false" customHeight="true" outlineLevel="0" collapsed="false">
      <c r="A11" s="46" t="s">
        <v>2502</v>
      </c>
      <c r="B11" s="6" t="s">
        <v>2503</v>
      </c>
      <c r="C11" s="6" t="s">
        <v>2504</v>
      </c>
      <c r="D11" s="6" t="s">
        <v>2505</v>
      </c>
      <c r="E11" s="46" t="s">
        <v>2506</v>
      </c>
      <c r="F11" s="6" t="s">
        <v>2507</v>
      </c>
    </row>
    <row r="12" customFormat="false" ht="26.25" hidden="false" customHeight="true" outlineLevel="0" collapsed="false">
      <c r="A12" s="46" t="s">
        <v>2508</v>
      </c>
      <c r="B12" s="6" t="s">
        <v>2509</v>
      </c>
      <c r="C12" s="6" t="s">
        <v>2510</v>
      </c>
      <c r="D12" s="6" t="s">
        <v>2511</v>
      </c>
      <c r="E12" s="46" t="s">
        <v>2500</v>
      </c>
      <c r="F12" s="6" t="s">
        <v>2512</v>
      </c>
    </row>
  </sheetData>
  <autoFilter ref="A4:F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1" width="30"/>
    <col collapsed="false" customWidth="true" hidden="false" outlineLevel="0" max="3" min="2" style="1" width="12"/>
  </cols>
  <sheetData>
    <row r="1" customFormat="false" ht="18" hidden="false" customHeight="true" outlineLevel="0" collapsed="false">
      <c r="A1" s="15" t="s">
        <v>2513</v>
      </c>
    </row>
    <row r="2" customFormat="false" ht="14.25" hidden="false" customHeight="true" outlineLevel="0" collapsed="false">
      <c r="A2" s="34" t="s">
        <v>2514</v>
      </c>
    </row>
    <row r="4" customFormat="false" ht="14.25" hidden="false" customHeight="true" outlineLevel="0" collapsed="false">
      <c r="A4" s="12" t="s">
        <v>2515</v>
      </c>
    </row>
    <row r="5" customFormat="false" ht="14.25" hidden="false" customHeight="true" outlineLevel="0" collapsed="false">
      <c r="A5" s="47" t="s">
        <v>2516</v>
      </c>
      <c r="B5" s="47" t="s">
        <v>2517</v>
      </c>
      <c r="C5" s="47" t="s">
        <v>2518</v>
      </c>
    </row>
    <row r="6" customFormat="false" ht="14.25" hidden="false" customHeight="true" outlineLevel="0" collapsed="false">
      <c r="A6" s="48" t="s">
        <v>411</v>
      </c>
      <c r="B6" s="49" t="n">
        <f aca="false">COUNTIF('Exercise Database'!$C$5:$C$117,$A6)</f>
        <v>12</v>
      </c>
      <c r="C6" s="50" t="n">
        <f aca="false">IF($B$16=0,0,B6/$B$16)</f>
        <v>0.106194690265487</v>
      </c>
    </row>
    <row r="7" customFormat="false" ht="14.25" hidden="false" customHeight="true" outlineLevel="0" collapsed="false">
      <c r="A7" s="48" t="s">
        <v>594</v>
      </c>
      <c r="B7" s="49" t="n">
        <f aca="false">COUNTIF('Exercise Database'!$C$5:$C$117,$A7)</f>
        <v>15</v>
      </c>
      <c r="C7" s="50" t="n">
        <f aca="false">IF($B$16=0,0,B7/$B$16)</f>
        <v>0.132743362831858</v>
      </c>
    </row>
    <row r="8" customFormat="false" ht="14.25" hidden="false" customHeight="true" outlineLevel="0" collapsed="false">
      <c r="A8" s="48" t="s">
        <v>751</v>
      </c>
      <c r="B8" s="49" t="n">
        <f aca="false">COUNTIF('Exercise Database'!$C$5:$C$117,$A8)</f>
        <v>12</v>
      </c>
      <c r="C8" s="50" t="n">
        <f aca="false">IF($B$16=0,0,B8/$B$16)</f>
        <v>0.106194690265487</v>
      </c>
    </row>
    <row r="9" customFormat="false" ht="14.25" hidden="false" customHeight="true" outlineLevel="0" collapsed="false">
      <c r="A9" s="48" t="s">
        <v>879</v>
      </c>
      <c r="B9" s="49" t="n">
        <f aca="false">COUNTIF('Exercise Database'!$C$5:$C$117,$A9)</f>
        <v>14</v>
      </c>
      <c r="C9" s="50" t="n">
        <f aca="false">IF($B$16=0,0,B9/$B$16)</f>
        <v>0.123893805309735</v>
      </c>
    </row>
    <row r="10" customFormat="false" ht="14.25" hidden="false" customHeight="true" outlineLevel="0" collapsed="false">
      <c r="A10" s="48" t="s">
        <v>1049</v>
      </c>
      <c r="B10" s="49" t="n">
        <f aca="false">COUNTIF('Exercise Database'!$C$5:$C$117,$A10)</f>
        <v>14</v>
      </c>
      <c r="C10" s="50" t="n">
        <f aca="false">IF($B$16=0,0,B10/$B$16)</f>
        <v>0.123893805309735</v>
      </c>
    </row>
    <row r="11" customFormat="false" ht="14.25" hidden="false" customHeight="true" outlineLevel="0" collapsed="false">
      <c r="A11" s="48" t="s">
        <v>1207</v>
      </c>
      <c r="B11" s="49" t="n">
        <f aca="false">COUNTIF('Exercise Database'!$C$5:$C$117,$A11)</f>
        <v>7</v>
      </c>
      <c r="C11" s="50" t="n">
        <f aca="false">IF($B$16=0,0,B11/$B$16)</f>
        <v>0.0619469026548673</v>
      </c>
    </row>
    <row r="12" customFormat="false" ht="14.25" hidden="false" customHeight="true" outlineLevel="0" collapsed="false">
      <c r="A12" s="48" t="s">
        <v>1290</v>
      </c>
      <c r="B12" s="49" t="n">
        <f aca="false">COUNTIF('Exercise Database'!$C$5:$C$117,$A12)</f>
        <v>7</v>
      </c>
      <c r="C12" s="50" t="n">
        <f aca="false">IF($B$16=0,0,B12/$B$16)</f>
        <v>0.0619469026548673</v>
      </c>
    </row>
    <row r="13" customFormat="false" ht="14.25" hidden="false" customHeight="true" outlineLevel="0" collapsed="false">
      <c r="A13" s="48" t="s">
        <v>1377</v>
      </c>
      <c r="B13" s="49" t="n">
        <f aca="false">COUNTIF('Exercise Database'!$C$5:$C$117,$A13)</f>
        <v>14</v>
      </c>
      <c r="C13" s="50" t="n">
        <f aca="false">IF($B$16=0,0,B13/$B$16)</f>
        <v>0.123893805309735</v>
      </c>
    </row>
    <row r="14" customFormat="false" ht="14.25" hidden="false" customHeight="true" outlineLevel="0" collapsed="false">
      <c r="A14" s="48" t="s">
        <v>1542</v>
      </c>
      <c r="B14" s="49" t="n">
        <f aca="false">COUNTIF('Exercise Database'!$C$5:$C$117,$A14)</f>
        <v>4</v>
      </c>
      <c r="C14" s="50" t="n">
        <f aca="false">IF($B$16=0,0,B14/$B$16)</f>
        <v>0.0353982300884956</v>
      </c>
    </row>
    <row r="15" customFormat="false" ht="14.25" hidden="false" customHeight="true" outlineLevel="0" collapsed="false">
      <c r="A15" s="48" t="s">
        <v>1585</v>
      </c>
      <c r="B15" s="49" t="n">
        <f aca="false">COUNTIF('Exercise Database'!$C$5:$C$117,$A15)</f>
        <v>14</v>
      </c>
      <c r="C15" s="50" t="n">
        <f aca="false">IF($B$16=0,0,B15/$B$16)</f>
        <v>0.123893805309735</v>
      </c>
    </row>
    <row r="16" customFormat="false" ht="14.25" hidden="false" customHeight="true" outlineLevel="0" collapsed="false">
      <c r="A16" s="51" t="s">
        <v>2519</v>
      </c>
      <c r="B16" s="52" t="n">
        <f aca="false">SUM(B6:B15)</f>
        <v>113</v>
      </c>
      <c r="C16" s="53" t="n">
        <f aca="false">IF(B16=0,0,SUM(C6:C15))</f>
        <v>1</v>
      </c>
    </row>
    <row r="18" customFormat="false" ht="14.25" hidden="false" customHeight="true" outlineLevel="0" collapsed="false">
      <c r="A18" s="12" t="s">
        <v>2520</v>
      </c>
    </row>
    <row r="19" customFormat="false" ht="14.25" hidden="false" customHeight="true" outlineLevel="0" collapsed="false">
      <c r="A19" s="47" t="s">
        <v>2516</v>
      </c>
      <c r="B19" s="47" t="s">
        <v>2517</v>
      </c>
      <c r="C19" s="47" t="s">
        <v>2518</v>
      </c>
    </row>
    <row r="20" customFormat="false" ht="14.25" hidden="false" customHeight="true" outlineLevel="0" collapsed="false">
      <c r="A20" s="48" t="s">
        <v>468</v>
      </c>
      <c r="B20" s="49" t="n">
        <f aca="false">COUNTIF('Exercise Database'!$H$5:$H$117,$A20)</f>
        <v>52</v>
      </c>
      <c r="C20" s="50" t="n">
        <f aca="false">IF($B$23=0,0,B20/$B$23)</f>
        <v>0.460176991150442</v>
      </c>
    </row>
    <row r="21" customFormat="false" ht="14.25" hidden="false" customHeight="true" outlineLevel="0" collapsed="false">
      <c r="A21" s="48" t="s">
        <v>438</v>
      </c>
      <c r="B21" s="49" t="n">
        <f aca="false">COUNTIF('Exercise Database'!$H$5:$H$117,$A21)</f>
        <v>33</v>
      </c>
      <c r="C21" s="50" t="n">
        <f aca="false">IF($B$23=0,0,B21/$B$23)</f>
        <v>0.292035398230089</v>
      </c>
    </row>
    <row r="22" customFormat="false" ht="14.25" hidden="false" customHeight="true" outlineLevel="0" collapsed="false">
      <c r="A22" s="48" t="s">
        <v>78</v>
      </c>
      <c r="B22" s="49" t="n">
        <f aca="false">COUNTIF('Exercise Database'!$H$5:$H$117,$A22)</f>
        <v>28</v>
      </c>
      <c r="C22" s="50" t="n">
        <f aca="false">IF($B$23=0,0,B22/$B$23)</f>
        <v>0.247787610619469</v>
      </c>
    </row>
    <row r="23" customFormat="false" ht="14.25" hidden="false" customHeight="true" outlineLevel="0" collapsed="false">
      <c r="A23" s="51" t="s">
        <v>2519</v>
      </c>
      <c r="B23" s="52" t="n">
        <f aca="false">SUM(B20:B22)</f>
        <v>113</v>
      </c>
      <c r="C23" s="53" t="n">
        <f aca="false">IF(B23=0,0,SUM(C20:C22))</f>
        <v>1</v>
      </c>
    </row>
    <row r="25" customFormat="false" ht="14.25" hidden="false" customHeight="true" outlineLevel="0" collapsed="false">
      <c r="A25" s="12" t="s">
        <v>2521</v>
      </c>
    </row>
    <row r="26" customFormat="false" ht="14.25" hidden="false" customHeight="true" outlineLevel="0" collapsed="false">
      <c r="A26" s="47" t="s">
        <v>2516</v>
      </c>
      <c r="B26" s="47" t="s">
        <v>2517</v>
      </c>
      <c r="C26" s="47" t="s">
        <v>2518</v>
      </c>
    </row>
    <row r="27" customFormat="false" ht="14.25" hidden="false" customHeight="true" outlineLevel="0" collapsed="false">
      <c r="A27" s="48" t="s">
        <v>53</v>
      </c>
      <c r="B27" s="49" t="n">
        <f aca="false">COUNTIF('Exercise Database'!$J$5:$J$117,$A27)</f>
        <v>77</v>
      </c>
      <c r="C27" s="50" t="n">
        <f aca="false">IF($B$30=0,0,B27/$B$30)</f>
        <v>0.68141592920354</v>
      </c>
    </row>
    <row r="28" customFormat="false" ht="14.25" hidden="false" customHeight="true" outlineLevel="0" collapsed="false">
      <c r="A28" s="48" t="s">
        <v>417</v>
      </c>
      <c r="B28" s="49" t="n">
        <f aca="false">COUNTIF('Exercise Database'!$J$5:$J$117,$A28)</f>
        <v>27</v>
      </c>
      <c r="C28" s="50" t="n">
        <f aca="false">IF($B$30=0,0,B28/$B$30)</f>
        <v>0.238938053097345</v>
      </c>
    </row>
    <row r="29" customFormat="false" ht="14.25" hidden="false" customHeight="true" outlineLevel="0" collapsed="false">
      <c r="A29" s="48" t="s">
        <v>528</v>
      </c>
      <c r="B29" s="49" t="n">
        <f aca="false">COUNTIF('Exercise Database'!$J$5:$J$117,$A29)</f>
        <v>9</v>
      </c>
      <c r="C29" s="50" t="n">
        <f aca="false">IF($B$30=0,0,B29/$B$30)</f>
        <v>0.079646017699115</v>
      </c>
    </row>
    <row r="30" customFormat="false" ht="14.25" hidden="false" customHeight="true" outlineLevel="0" collapsed="false">
      <c r="A30" s="51" t="s">
        <v>2519</v>
      </c>
      <c r="B30" s="52" t="n">
        <f aca="false">SUM(B27:B29)</f>
        <v>113</v>
      </c>
      <c r="C30" s="53" t="n">
        <f aca="false">IF(B30=0,0,SUM(C27:C29))</f>
        <v>1</v>
      </c>
    </row>
    <row r="32" customFormat="false" ht="14.25" hidden="false" customHeight="true" outlineLevel="0" collapsed="false">
      <c r="A32" s="12" t="s">
        <v>2522</v>
      </c>
    </row>
    <row r="33" customFormat="false" ht="14.25" hidden="false" customHeight="true" outlineLevel="0" collapsed="false">
      <c r="A33" s="47" t="s">
        <v>2516</v>
      </c>
      <c r="B33" s="47" t="s">
        <v>2517</v>
      </c>
      <c r="C33" s="47" t="s">
        <v>2518</v>
      </c>
    </row>
    <row r="34" customFormat="false" ht="14.25" hidden="false" customHeight="true" outlineLevel="0" collapsed="false">
      <c r="A34" s="48" t="s">
        <v>421</v>
      </c>
      <c r="B34" s="49" t="n">
        <f aca="false">COUNTIF('Exercise Database'!$N$5:$N$117,$A34)</f>
        <v>14</v>
      </c>
      <c r="C34" s="50" t="n">
        <f aca="false">IF($B$38=0,0,B34/$B$38)</f>
        <v>0.123893805309735</v>
      </c>
    </row>
    <row r="35" customFormat="false" ht="14.25" hidden="false" customHeight="true" outlineLevel="0" collapsed="false">
      <c r="A35" s="48" t="s">
        <v>440</v>
      </c>
      <c r="B35" s="49" t="n">
        <f aca="false">COUNTIF('Exercise Database'!$N$5:$N$117,$A35)</f>
        <v>36</v>
      </c>
      <c r="C35" s="50" t="n">
        <f aca="false">IF($B$38=0,0,B35/$B$38)</f>
        <v>0.31858407079646</v>
      </c>
    </row>
    <row r="36" customFormat="false" ht="14.25" hidden="false" customHeight="true" outlineLevel="0" collapsed="false">
      <c r="A36" s="48" t="s">
        <v>924</v>
      </c>
      <c r="B36" s="49" t="n">
        <f aca="false">COUNTIF('Exercise Database'!$N$5:$N$117,$A36)</f>
        <v>14</v>
      </c>
      <c r="C36" s="50" t="n">
        <f aca="false">IF($B$38=0,0,B36/$B$38)</f>
        <v>0.123893805309735</v>
      </c>
    </row>
    <row r="37" customFormat="false" ht="14.25" hidden="false" customHeight="true" outlineLevel="0" collapsed="false">
      <c r="A37" s="48" t="s">
        <v>470</v>
      </c>
      <c r="B37" s="49" t="n">
        <f aca="false">COUNTIF('Exercise Database'!$N$5:$N$117,$A37)</f>
        <v>49</v>
      </c>
      <c r="C37" s="50" t="n">
        <f aca="false">IF($B$38=0,0,B37/$B$38)</f>
        <v>0.433628318584071</v>
      </c>
    </row>
    <row r="38" customFormat="false" ht="14.25" hidden="false" customHeight="true" outlineLevel="0" collapsed="false">
      <c r="A38" s="51" t="s">
        <v>2519</v>
      </c>
      <c r="B38" s="52" t="n">
        <f aca="false">SUM(B34:B37)</f>
        <v>113</v>
      </c>
      <c r="C38" s="53" t="n">
        <f aca="false">IF(B38=0,0,SUM(C34:C37))</f>
        <v>1</v>
      </c>
    </row>
    <row r="40" customFormat="false" ht="14.25" hidden="false" customHeight="true" outlineLevel="0" collapsed="false">
      <c r="A40" s="12" t="s">
        <v>2523</v>
      </c>
    </row>
    <row r="41" customFormat="false" ht="14.25" hidden="false" customHeight="true" outlineLevel="0" collapsed="false">
      <c r="A41" s="47" t="s">
        <v>2516</v>
      </c>
      <c r="B41" s="47" t="s">
        <v>2517</v>
      </c>
      <c r="C41" s="47" t="s">
        <v>2518</v>
      </c>
    </row>
    <row r="42" customFormat="false" ht="14.25" hidden="false" customHeight="true" outlineLevel="0" collapsed="false">
      <c r="A42" s="48" t="s">
        <v>415</v>
      </c>
      <c r="B42" s="49" t="n">
        <f aca="false">COUNTIF('Exercise Database'!$G$5:$G$117,$A42)</f>
        <v>64</v>
      </c>
      <c r="C42" s="50" t="n">
        <f aca="false">IF($B$44=0,0,B42/$B$44)</f>
        <v>0.566371681415929</v>
      </c>
    </row>
    <row r="43" customFormat="false" ht="14.25" hidden="false" customHeight="true" outlineLevel="0" collapsed="false">
      <c r="A43" s="48" t="s">
        <v>500</v>
      </c>
      <c r="B43" s="49" t="n">
        <f aca="false">COUNTIF('Exercise Database'!$G$5:$G$117,$A43)</f>
        <v>49</v>
      </c>
      <c r="C43" s="50" t="n">
        <f aca="false">IF($B$44=0,0,B43/$B$44)</f>
        <v>0.433628318584071</v>
      </c>
    </row>
    <row r="44" customFormat="false" ht="14.25" hidden="false" customHeight="true" outlineLevel="0" collapsed="false">
      <c r="A44" s="51" t="s">
        <v>2519</v>
      </c>
      <c r="B44" s="52" t="n">
        <f aca="false">SUM(B42:B43)</f>
        <v>113</v>
      </c>
      <c r="C44" s="53" t="n">
        <f aca="false">IF(B44=0,0,SUM(C42:C43))</f>
        <v>1</v>
      </c>
    </row>
    <row r="46" customFormat="false" ht="14.25" hidden="false" customHeight="true" outlineLevel="0" collapsed="false">
      <c r="A46" s="12" t="s">
        <v>2524</v>
      </c>
    </row>
    <row r="47" customFormat="false" ht="14.25" hidden="false" customHeight="true" outlineLevel="0" collapsed="false">
      <c r="A47" s="47" t="s">
        <v>2516</v>
      </c>
      <c r="B47" s="47" t="s">
        <v>2517</v>
      </c>
      <c r="C47" s="47" t="s">
        <v>2518</v>
      </c>
    </row>
    <row r="48" customFormat="false" ht="14.25" hidden="false" customHeight="true" outlineLevel="0" collapsed="false">
      <c r="A48" s="48" t="s">
        <v>420</v>
      </c>
      <c r="B48" s="49" t="n">
        <f aca="false">COUNTIF('Exercise Database'!$M$5:$M$117,$A48)</f>
        <v>65</v>
      </c>
      <c r="C48" s="50" t="n">
        <f aca="false">IF($B$53=0,0,B48/$B$53)</f>
        <v>0.575221238938053</v>
      </c>
    </row>
    <row r="49" customFormat="false" ht="14.25" hidden="false" customHeight="true" outlineLevel="0" collapsed="false">
      <c r="A49" s="48" t="s">
        <v>469</v>
      </c>
      <c r="B49" s="49" t="n">
        <f aca="false">COUNTIF('Exercise Database'!$M$5:$M$117,$A49)</f>
        <v>26</v>
      </c>
      <c r="C49" s="50" t="n">
        <f aca="false">IF($B$53=0,0,B49/$B$53)</f>
        <v>0.230088495575221</v>
      </c>
    </row>
    <row r="50" customFormat="false" ht="14.25" hidden="false" customHeight="true" outlineLevel="0" collapsed="false">
      <c r="A50" s="48" t="s">
        <v>1022</v>
      </c>
      <c r="B50" s="49" t="n">
        <f aca="false">COUNTIF('Exercise Database'!$M$5:$M$117,$A50)</f>
        <v>8</v>
      </c>
      <c r="C50" s="50" t="n">
        <f aca="false">IF($B$53=0,0,B50/$B$53)</f>
        <v>0.0707964601769912</v>
      </c>
    </row>
    <row r="51" customFormat="false" ht="14.25" hidden="false" customHeight="true" outlineLevel="0" collapsed="false">
      <c r="A51" s="48" t="s">
        <v>1643</v>
      </c>
      <c r="B51" s="49" t="n">
        <f aca="false">COUNTIF('Exercise Database'!$M$5:$M$117,$A51)</f>
        <v>10</v>
      </c>
      <c r="C51" s="50" t="n">
        <f aca="false">IF($B$53=0,0,B51/$B$53)</f>
        <v>0.0884955752212389</v>
      </c>
    </row>
    <row r="52" customFormat="false" ht="14.25" hidden="false" customHeight="true" outlineLevel="0" collapsed="false">
      <c r="A52" s="48" t="s">
        <v>1037</v>
      </c>
      <c r="B52" s="49" t="n">
        <f aca="false">COUNTIF('Exercise Database'!$M$5:$M$117,$A52)</f>
        <v>4</v>
      </c>
      <c r="C52" s="50" t="n">
        <f aca="false">IF($B$53=0,0,B52/$B$53)</f>
        <v>0.0353982300884956</v>
      </c>
    </row>
    <row r="53" customFormat="false" ht="14.25" hidden="false" customHeight="true" outlineLevel="0" collapsed="false">
      <c r="A53" s="51" t="s">
        <v>2519</v>
      </c>
      <c r="B53" s="52" t="n">
        <f aca="false">SUM(B48:B52)</f>
        <v>113</v>
      </c>
      <c r="C53" s="53" t="n">
        <f aca="false">IF(B53=0,0,SUM(C48:C52))</f>
        <v>1</v>
      </c>
    </row>
    <row r="55" customFormat="false" ht="15" hidden="false" customHeight="true" outlineLevel="0" collapsed="false">
      <c r="A55" s="54" t="s">
        <v>2525</v>
      </c>
    </row>
    <row r="56" customFormat="false" ht="14.25" hidden="false" customHeight="true" outlineLevel="0" collapsed="false">
      <c r="A56" s="55" t="s">
        <v>2526</v>
      </c>
      <c r="B56" s="56" t="n">
        <f aca="false">COUNTA('Exercise Database'!$A$5:$A$117)</f>
        <v>113</v>
      </c>
    </row>
    <row r="57" customFormat="false" ht="14.25" hidden="false" customHeight="true" outlineLevel="0" collapsed="false">
      <c r="A57" s="55" t="s">
        <v>2527</v>
      </c>
      <c r="B57" s="56" t="n">
        <f aca="false">COUNTIF('Exercise Database'!$V$5:$V$117,"&gt;=1")</f>
        <v>113</v>
      </c>
    </row>
    <row r="58" customFormat="false" ht="14.25" hidden="false" customHeight="true" outlineLevel="0" collapsed="false">
      <c r="A58" s="55" t="s">
        <v>2528</v>
      </c>
      <c r="B58" s="56" t="n">
        <f aca="false">COUNTIF('Exercise Database'!$V$5:$V$117,"&gt;=3")</f>
        <v>113</v>
      </c>
    </row>
    <row r="59" customFormat="false" ht="14.25" hidden="false" customHeight="true" outlineLevel="0" collapsed="false">
      <c r="A59" s="55" t="s">
        <v>2529</v>
      </c>
      <c r="B59" s="56" t="n">
        <f aca="false">ROUND(AVERAGE('Exercise Database'!$V$5:$V$117),1)</f>
        <v>4.8</v>
      </c>
    </row>
    <row r="60" customFormat="false" ht="14.25" hidden="false" customHeight="true" outlineLevel="0" collapsed="false">
      <c r="A60" s="55" t="s">
        <v>2530</v>
      </c>
      <c r="B60" s="56" t="n">
        <f aca="false">COUNTIF('Exercise Database'!$V$5:$V$117,0)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K19" activeCellId="0" sqref="K19"/>
    </sheetView>
  </sheetViews>
  <sheetFormatPr defaultColWidth="8.73046875" defaultRowHeight="14.2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26"/>
    <col collapsed="false" customWidth="true" hidden="false" outlineLevel="0" max="4" min="4" style="1" width="78"/>
    <col collapsed="false" customWidth="true" hidden="false" outlineLevel="0" max="6" min="5" style="1" width="8"/>
    <col collapsed="false" customWidth="true" hidden="false" outlineLevel="0" max="7" min="7" style="1" width="52"/>
  </cols>
  <sheetData>
    <row r="1" customFormat="false" ht="18" hidden="false" customHeight="true" outlineLevel="0" collapsed="false">
      <c r="A1" s="15" t="s">
        <v>2531</v>
      </c>
    </row>
    <row r="2" customFormat="false" ht="14.25" hidden="false" customHeight="true" outlineLevel="0" collapsed="false">
      <c r="A2" s="57" t="s">
        <v>2532</v>
      </c>
    </row>
    <row r="4" customFormat="false" ht="51.75" hidden="false" customHeight="true" outlineLevel="0" collapsed="false">
      <c r="A4" s="4" t="s">
        <v>374</v>
      </c>
      <c r="B4" s="4" t="s">
        <v>375</v>
      </c>
      <c r="C4" s="4" t="s">
        <v>379</v>
      </c>
      <c r="D4" s="4" t="s">
        <v>393</v>
      </c>
      <c r="E4" s="4" t="s">
        <v>2519</v>
      </c>
      <c r="F4" s="4" t="s">
        <v>2533</v>
      </c>
      <c r="G4" s="4" t="s">
        <v>2534</v>
      </c>
    </row>
    <row r="5" customFormat="false" ht="30" hidden="false" customHeight="true" outlineLevel="0" collapsed="false">
      <c r="A5" s="46" t="s">
        <v>409</v>
      </c>
      <c r="B5" s="46" t="s">
        <v>410</v>
      </c>
      <c r="C5" s="46" t="s">
        <v>414</v>
      </c>
      <c r="D5" s="6" t="s">
        <v>428</v>
      </c>
      <c r="E5" s="24" t="n">
        <v>10</v>
      </c>
      <c r="F5" s="24" t="n">
        <v>8</v>
      </c>
      <c r="G5" s="6" t="s">
        <v>2535</v>
      </c>
    </row>
    <row r="6" customFormat="false" ht="30" hidden="false" customHeight="true" outlineLevel="0" collapsed="false">
      <c r="A6" s="46" t="s">
        <v>436</v>
      </c>
      <c r="B6" s="46" t="s">
        <v>437</v>
      </c>
      <c r="C6" s="46" t="s">
        <v>414</v>
      </c>
      <c r="D6" s="6" t="s">
        <v>447</v>
      </c>
      <c r="E6" s="24" t="n">
        <v>8</v>
      </c>
      <c r="F6" s="24" t="n">
        <v>6</v>
      </c>
      <c r="G6" s="6" t="s">
        <v>2535</v>
      </c>
    </row>
    <row r="7" customFormat="false" ht="30" hidden="false" customHeight="true" outlineLevel="0" collapsed="false">
      <c r="A7" s="46" t="s">
        <v>451</v>
      </c>
      <c r="B7" s="46" t="s">
        <v>452</v>
      </c>
      <c r="C7" s="46" t="s">
        <v>414</v>
      </c>
      <c r="D7" s="6" t="s">
        <v>461</v>
      </c>
      <c r="E7" s="24" t="n">
        <v>8</v>
      </c>
      <c r="F7" s="24" t="n">
        <v>7</v>
      </c>
      <c r="G7" s="6" t="s">
        <v>2535</v>
      </c>
    </row>
    <row r="8" customFormat="false" ht="30" hidden="false" customHeight="true" outlineLevel="0" collapsed="false">
      <c r="A8" s="46" t="s">
        <v>465</v>
      </c>
      <c r="B8" s="46" t="s">
        <v>466</v>
      </c>
      <c r="C8" s="46" t="s">
        <v>414</v>
      </c>
      <c r="D8" s="6" t="s">
        <v>477</v>
      </c>
      <c r="E8" s="24" t="n">
        <v>7</v>
      </c>
      <c r="F8" s="24" t="n">
        <v>5</v>
      </c>
      <c r="G8" s="6" t="s">
        <v>2535</v>
      </c>
    </row>
    <row r="9" customFormat="false" ht="30" hidden="false" customHeight="true" outlineLevel="0" collapsed="false">
      <c r="A9" s="46" t="s">
        <v>482</v>
      </c>
      <c r="B9" s="46" t="s">
        <v>483</v>
      </c>
      <c r="C9" s="46" t="s">
        <v>414</v>
      </c>
      <c r="D9" s="6" t="s">
        <v>492</v>
      </c>
      <c r="E9" s="24" t="n">
        <v>6</v>
      </c>
      <c r="F9" s="24" t="n">
        <v>5</v>
      </c>
      <c r="G9" s="6" t="s">
        <v>2535</v>
      </c>
    </row>
    <row r="10" customFormat="false" ht="30" hidden="false" customHeight="true" outlineLevel="0" collapsed="false">
      <c r="A10" s="46" t="s">
        <v>496</v>
      </c>
      <c r="B10" s="46" t="s">
        <v>497</v>
      </c>
      <c r="C10" s="46" t="s">
        <v>499</v>
      </c>
      <c r="D10" s="6" t="s">
        <v>508</v>
      </c>
      <c r="E10" s="24" t="n">
        <v>5</v>
      </c>
      <c r="F10" s="24" t="n">
        <v>1</v>
      </c>
      <c r="G10" s="6" t="s">
        <v>2536</v>
      </c>
    </row>
    <row r="11" customFormat="false" ht="30" hidden="false" customHeight="true" outlineLevel="0" collapsed="false">
      <c r="A11" s="46" t="s">
        <v>512</v>
      </c>
      <c r="B11" s="46" t="s">
        <v>513</v>
      </c>
      <c r="C11" s="46" t="s">
        <v>499</v>
      </c>
      <c r="D11" s="6" t="s">
        <v>520</v>
      </c>
      <c r="E11" s="24" t="n">
        <v>5</v>
      </c>
      <c r="F11" s="24" t="n">
        <v>1</v>
      </c>
      <c r="G11" s="6" t="s">
        <v>2537</v>
      </c>
    </row>
    <row r="12" customFormat="false" ht="30" hidden="false" customHeight="true" outlineLevel="0" collapsed="false">
      <c r="A12" s="46" t="s">
        <v>523</v>
      </c>
      <c r="B12" s="46" t="s">
        <v>524</v>
      </c>
      <c r="C12" s="46" t="s">
        <v>414</v>
      </c>
      <c r="D12" s="6" t="s">
        <v>535</v>
      </c>
      <c r="E12" s="24" t="n">
        <v>7</v>
      </c>
      <c r="F12" s="24" t="n">
        <v>6</v>
      </c>
      <c r="G12" s="6" t="s">
        <v>2538</v>
      </c>
    </row>
    <row r="13" customFormat="false" ht="30" hidden="false" customHeight="true" outlineLevel="0" collapsed="false">
      <c r="A13" s="46" t="s">
        <v>540</v>
      </c>
      <c r="B13" s="46" t="s">
        <v>541</v>
      </c>
      <c r="C13" s="46" t="s">
        <v>414</v>
      </c>
      <c r="D13" s="6" t="s">
        <v>550</v>
      </c>
      <c r="E13" s="24" t="n">
        <v>6</v>
      </c>
      <c r="F13" s="24" t="n">
        <v>6</v>
      </c>
      <c r="G13" s="6" t="s">
        <v>2535</v>
      </c>
    </row>
    <row r="14" customFormat="false" ht="30" hidden="false" customHeight="true" outlineLevel="0" collapsed="false">
      <c r="A14" s="46" t="s">
        <v>554</v>
      </c>
      <c r="B14" s="46" t="s">
        <v>555</v>
      </c>
      <c r="C14" s="46" t="s">
        <v>414</v>
      </c>
      <c r="D14" s="6" t="s">
        <v>563</v>
      </c>
      <c r="E14" s="24" t="n">
        <v>6</v>
      </c>
      <c r="F14" s="24" t="n">
        <v>6</v>
      </c>
      <c r="G14" s="6" t="s">
        <v>2535</v>
      </c>
      <c r="K14" s="14"/>
      <c r="L14" s="14"/>
      <c r="M14" s="14"/>
      <c r="N14" s="14"/>
      <c r="O14" s="14"/>
      <c r="P14" s="14"/>
    </row>
    <row r="15" customFormat="false" ht="30" hidden="false" customHeight="true" outlineLevel="0" collapsed="false">
      <c r="A15" s="46" t="s">
        <v>567</v>
      </c>
      <c r="B15" s="46" t="s">
        <v>568</v>
      </c>
      <c r="C15" s="46" t="s">
        <v>414</v>
      </c>
      <c r="D15" s="6" t="s">
        <v>576</v>
      </c>
      <c r="E15" s="24" t="n">
        <v>5</v>
      </c>
      <c r="F15" s="24" t="n">
        <v>4</v>
      </c>
      <c r="G15" s="6" t="s">
        <v>2535</v>
      </c>
      <c r="K15" s="14"/>
      <c r="L15" s="14"/>
      <c r="M15" s="14"/>
      <c r="N15" s="14"/>
      <c r="O15" s="14"/>
      <c r="P15" s="14"/>
    </row>
    <row r="16" customFormat="false" ht="30" hidden="false" customHeight="true" outlineLevel="0" collapsed="false">
      <c r="A16" s="46" t="s">
        <v>580</v>
      </c>
      <c r="B16" s="46" t="s">
        <v>581</v>
      </c>
      <c r="C16" s="46" t="s">
        <v>414</v>
      </c>
      <c r="D16" s="6" t="s">
        <v>589</v>
      </c>
      <c r="E16" s="24" t="n">
        <v>5</v>
      </c>
      <c r="F16" s="24" t="n">
        <v>5</v>
      </c>
      <c r="G16" s="6" t="s">
        <v>2535</v>
      </c>
      <c r="K16" s="14"/>
      <c r="L16" s="14"/>
      <c r="M16" s="14"/>
      <c r="N16" s="14"/>
      <c r="O16" s="14"/>
      <c r="P16" s="14"/>
    </row>
    <row r="17" customFormat="false" ht="30" hidden="false" customHeight="true" outlineLevel="0" collapsed="false">
      <c r="A17" s="46" t="s">
        <v>592</v>
      </c>
      <c r="B17" s="46" t="s">
        <v>593</v>
      </c>
      <c r="C17" s="46" t="s">
        <v>597</v>
      </c>
      <c r="D17" s="6" t="s">
        <v>605</v>
      </c>
      <c r="E17" s="24" t="n">
        <v>9</v>
      </c>
      <c r="F17" s="24" t="n">
        <v>3</v>
      </c>
      <c r="G17" s="6" t="s">
        <v>2539</v>
      </c>
      <c r="K17" s="14"/>
      <c r="L17" s="14"/>
      <c r="M17" s="14"/>
      <c r="N17" s="14"/>
      <c r="O17" s="14"/>
      <c r="P17" s="14"/>
    </row>
    <row r="18" customFormat="false" ht="30" hidden="false" customHeight="true" outlineLevel="0" collapsed="false">
      <c r="A18" s="46" t="s">
        <v>610</v>
      </c>
      <c r="B18" s="46" t="s">
        <v>611</v>
      </c>
      <c r="C18" s="46" t="s">
        <v>614</v>
      </c>
      <c r="D18" s="6" t="s">
        <v>622</v>
      </c>
      <c r="E18" s="24" t="n">
        <v>6</v>
      </c>
      <c r="F18" s="24" t="n">
        <v>5</v>
      </c>
      <c r="G18" s="6" t="s">
        <v>2535</v>
      </c>
      <c r="K18" s="14"/>
      <c r="L18" s="14"/>
      <c r="M18" s="14"/>
      <c r="N18" s="14"/>
      <c r="O18" s="14"/>
      <c r="P18" s="14"/>
    </row>
    <row r="19" customFormat="false" ht="30" hidden="false" customHeight="true" outlineLevel="0" collapsed="false">
      <c r="A19" s="46" t="s">
        <v>627</v>
      </c>
      <c r="B19" s="46" t="s">
        <v>628</v>
      </c>
      <c r="C19" s="46" t="s">
        <v>614</v>
      </c>
      <c r="D19" s="6" t="s">
        <v>637</v>
      </c>
      <c r="E19" s="24" t="n">
        <v>5</v>
      </c>
      <c r="F19" s="24" t="n">
        <v>5</v>
      </c>
      <c r="G19" s="6" t="s">
        <v>2535</v>
      </c>
    </row>
    <row r="20" customFormat="false" ht="30" hidden="false" customHeight="true" outlineLevel="0" collapsed="false">
      <c r="A20" s="46" t="s">
        <v>640</v>
      </c>
      <c r="B20" s="46" t="s">
        <v>641</v>
      </c>
      <c r="C20" s="46" t="s">
        <v>644</v>
      </c>
      <c r="D20" s="6" t="s">
        <v>652</v>
      </c>
      <c r="E20" s="24" t="n">
        <v>6</v>
      </c>
      <c r="F20" s="24" t="n">
        <v>3</v>
      </c>
      <c r="G20" s="6" t="s">
        <v>2540</v>
      </c>
    </row>
    <row r="21" customFormat="false" ht="30" hidden="false" customHeight="true" outlineLevel="0" collapsed="false">
      <c r="A21" s="46" t="s">
        <v>657</v>
      </c>
      <c r="B21" s="46" t="s">
        <v>658</v>
      </c>
      <c r="C21" s="46" t="s">
        <v>644</v>
      </c>
      <c r="D21" s="6" t="s">
        <v>667</v>
      </c>
      <c r="E21" s="24" t="n">
        <v>6</v>
      </c>
      <c r="F21" s="24" t="n">
        <v>4</v>
      </c>
      <c r="G21" s="6" t="s">
        <v>2535</v>
      </c>
    </row>
    <row r="22" customFormat="false" ht="30" hidden="false" customHeight="true" outlineLevel="0" collapsed="false">
      <c r="A22" s="46" t="s">
        <v>671</v>
      </c>
      <c r="B22" s="46" t="s">
        <v>672</v>
      </c>
      <c r="C22" s="46" t="s">
        <v>614</v>
      </c>
      <c r="D22" s="6" t="s">
        <v>680</v>
      </c>
      <c r="E22" s="24" t="n">
        <v>5</v>
      </c>
      <c r="F22" s="24" t="n">
        <v>5</v>
      </c>
      <c r="G22" s="6" t="s">
        <v>2535</v>
      </c>
    </row>
    <row r="23" customFormat="false" ht="30" hidden="false" customHeight="true" outlineLevel="0" collapsed="false">
      <c r="A23" s="46" t="s">
        <v>684</v>
      </c>
      <c r="B23" s="46" t="s">
        <v>685</v>
      </c>
      <c r="C23" s="46" t="s">
        <v>614</v>
      </c>
      <c r="D23" s="6" t="s">
        <v>694</v>
      </c>
      <c r="E23" s="24" t="n">
        <v>5</v>
      </c>
      <c r="F23" s="24" t="n">
        <v>4</v>
      </c>
      <c r="G23" s="6" t="s">
        <v>2535</v>
      </c>
    </row>
    <row r="24" customFormat="false" ht="30" hidden="false" customHeight="true" outlineLevel="0" collapsed="false">
      <c r="A24" s="46" t="s">
        <v>698</v>
      </c>
      <c r="B24" s="46" t="s">
        <v>699</v>
      </c>
      <c r="C24" s="46" t="s">
        <v>614</v>
      </c>
      <c r="D24" s="6" t="s">
        <v>707</v>
      </c>
      <c r="E24" s="24" t="n">
        <v>5</v>
      </c>
      <c r="F24" s="24" t="n">
        <v>5</v>
      </c>
      <c r="G24" s="6" t="s">
        <v>2535</v>
      </c>
    </row>
    <row r="25" customFormat="false" ht="30" hidden="false" customHeight="true" outlineLevel="0" collapsed="false">
      <c r="A25" s="46" t="s">
        <v>710</v>
      </c>
      <c r="B25" s="46" t="s">
        <v>711</v>
      </c>
      <c r="C25" s="46" t="s">
        <v>644</v>
      </c>
      <c r="D25" s="6" t="s">
        <v>719</v>
      </c>
      <c r="E25" s="24" t="n">
        <v>4</v>
      </c>
      <c r="F25" s="24" t="n">
        <v>2</v>
      </c>
      <c r="G25" s="6" t="s">
        <v>2535</v>
      </c>
    </row>
    <row r="26" customFormat="false" ht="30" hidden="false" customHeight="true" outlineLevel="0" collapsed="false">
      <c r="A26" s="46" t="s">
        <v>722</v>
      </c>
      <c r="B26" s="46" t="s">
        <v>723</v>
      </c>
      <c r="C26" s="46" t="s">
        <v>597</v>
      </c>
      <c r="D26" s="6" t="s">
        <v>732</v>
      </c>
      <c r="E26" s="24" t="n">
        <v>6</v>
      </c>
      <c r="F26" s="24" t="n">
        <v>3</v>
      </c>
      <c r="G26" s="6" t="s">
        <v>2535</v>
      </c>
    </row>
    <row r="27" customFormat="false" ht="30" hidden="false" customHeight="true" outlineLevel="0" collapsed="false">
      <c r="A27" s="46" t="s">
        <v>736</v>
      </c>
      <c r="B27" s="46" t="s">
        <v>737</v>
      </c>
      <c r="C27" s="46" t="s">
        <v>644</v>
      </c>
      <c r="D27" s="6" t="s">
        <v>745</v>
      </c>
      <c r="E27" s="24" t="n">
        <v>5</v>
      </c>
      <c r="F27" s="24" t="n">
        <v>3</v>
      </c>
      <c r="G27" s="6" t="s">
        <v>2535</v>
      </c>
    </row>
    <row r="28" customFormat="false" ht="30" hidden="false" customHeight="true" outlineLevel="0" collapsed="false">
      <c r="A28" s="46" t="s">
        <v>749</v>
      </c>
      <c r="B28" s="46" t="s">
        <v>750</v>
      </c>
      <c r="C28" s="46" t="s">
        <v>753</v>
      </c>
      <c r="D28" s="6" t="s">
        <v>760</v>
      </c>
      <c r="E28" s="24" t="n">
        <v>5</v>
      </c>
      <c r="F28" s="24" t="n">
        <v>4</v>
      </c>
      <c r="G28" s="6" t="s">
        <v>2535</v>
      </c>
    </row>
    <row r="29" customFormat="false" ht="30" hidden="false" customHeight="true" outlineLevel="0" collapsed="false">
      <c r="A29" s="46" t="s">
        <v>764</v>
      </c>
      <c r="B29" s="46" t="s">
        <v>765</v>
      </c>
      <c r="C29" s="46" t="s">
        <v>753</v>
      </c>
      <c r="D29" s="6" t="s">
        <v>772</v>
      </c>
      <c r="E29" s="24" t="n">
        <v>5</v>
      </c>
      <c r="F29" s="24" t="n">
        <v>4</v>
      </c>
      <c r="G29" s="6" t="s">
        <v>2535</v>
      </c>
    </row>
    <row r="30" customFormat="false" ht="30" hidden="false" customHeight="true" outlineLevel="0" collapsed="false">
      <c r="A30" s="46" t="s">
        <v>775</v>
      </c>
      <c r="B30" s="46" t="s">
        <v>776</v>
      </c>
      <c r="C30" s="46" t="s">
        <v>778</v>
      </c>
      <c r="D30" s="6" t="s">
        <v>786</v>
      </c>
      <c r="E30" s="24" t="n">
        <v>4</v>
      </c>
      <c r="F30" s="24" t="n">
        <v>2</v>
      </c>
      <c r="G30" s="6" t="s">
        <v>2535</v>
      </c>
    </row>
    <row r="31" customFormat="false" ht="30" hidden="false" customHeight="true" outlineLevel="0" collapsed="false">
      <c r="A31" s="46" t="s">
        <v>791</v>
      </c>
      <c r="B31" s="46" t="s">
        <v>792</v>
      </c>
      <c r="C31" s="46" t="s">
        <v>778</v>
      </c>
      <c r="D31" s="6" t="s">
        <v>799</v>
      </c>
      <c r="E31" s="24" t="n">
        <v>4</v>
      </c>
      <c r="F31" s="24" t="n">
        <v>2</v>
      </c>
      <c r="G31" s="6" t="s">
        <v>2535</v>
      </c>
    </row>
    <row r="32" customFormat="false" ht="30" hidden="false" customHeight="true" outlineLevel="0" collapsed="false">
      <c r="A32" s="46" t="s">
        <v>802</v>
      </c>
      <c r="B32" s="46" t="s">
        <v>803</v>
      </c>
      <c r="C32" s="46" t="s">
        <v>805</v>
      </c>
      <c r="D32" s="6" t="s">
        <v>813</v>
      </c>
      <c r="E32" s="24" t="n">
        <v>3</v>
      </c>
      <c r="F32" s="24" t="n">
        <v>3</v>
      </c>
      <c r="G32" s="6" t="s">
        <v>2535</v>
      </c>
    </row>
    <row r="33" customFormat="false" ht="30" hidden="false" customHeight="true" outlineLevel="0" collapsed="false">
      <c r="A33" s="46" t="s">
        <v>817</v>
      </c>
      <c r="B33" s="46" t="s">
        <v>818</v>
      </c>
      <c r="C33" s="46" t="s">
        <v>805</v>
      </c>
      <c r="D33" s="6" t="s">
        <v>827</v>
      </c>
      <c r="E33" s="24" t="n">
        <v>3</v>
      </c>
      <c r="F33" s="24" t="n">
        <v>3</v>
      </c>
      <c r="G33" s="6" t="s">
        <v>2535</v>
      </c>
    </row>
    <row r="34" customFormat="false" ht="30" hidden="false" customHeight="true" outlineLevel="0" collapsed="false">
      <c r="A34" s="46" t="s">
        <v>831</v>
      </c>
      <c r="B34" s="46" t="s">
        <v>832</v>
      </c>
      <c r="C34" s="46" t="s">
        <v>753</v>
      </c>
      <c r="D34" s="6" t="s">
        <v>840</v>
      </c>
      <c r="E34" s="24" t="n">
        <v>5</v>
      </c>
      <c r="F34" s="24" t="n">
        <v>4</v>
      </c>
      <c r="G34" s="6" t="s">
        <v>2535</v>
      </c>
    </row>
    <row r="35" customFormat="false" ht="30" hidden="false" customHeight="true" outlineLevel="0" collapsed="false">
      <c r="A35" s="46" t="s">
        <v>842</v>
      </c>
      <c r="B35" s="46" t="s">
        <v>843</v>
      </c>
      <c r="C35" s="46" t="s">
        <v>753</v>
      </c>
      <c r="D35" s="6" t="s">
        <v>851</v>
      </c>
      <c r="E35" s="24" t="n">
        <v>5</v>
      </c>
      <c r="F35" s="24" t="n">
        <v>4</v>
      </c>
      <c r="G35" s="6" t="s">
        <v>2535</v>
      </c>
    </row>
    <row r="36" customFormat="false" ht="30" hidden="false" customHeight="true" outlineLevel="0" collapsed="false">
      <c r="A36" s="46" t="s">
        <v>854</v>
      </c>
      <c r="B36" s="46" t="s">
        <v>855</v>
      </c>
      <c r="C36" s="46" t="s">
        <v>778</v>
      </c>
      <c r="D36" s="6" t="s">
        <v>863</v>
      </c>
      <c r="E36" s="24" t="n">
        <v>4</v>
      </c>
      <c r="F36" s="24" t="n">
        <v>2</v>
      </c>
      <c r="G36" s="6" t="s">
        <v>2535</v>
      </c>
    </row>
    <row r="37" customFormat="false" ht="30" hidden="false" customHeight="true" outlineLevel="0" collapsed="false">
      <c r="A37" s="46" t="s">
        <v>866</v>
      </c>
      <c r="B37" s="46" t="s">
        <v>867</v>
      </c>
      <c r="C37" s="46" t="s">
        <v>805</v>
      </c>
      <c r="D37" s="6" t="s">
        <v>875</v>
      </c>
      <c r="E37" s="24" t="n">
        <v>3</v>
      </c>
      <c r="F37" s="24" t="n">
        <v>3</v>
      </c>
      <c r="G37" s="6" t="s">
        <v>2535</v>
      </c>
    </row>
    <row r="38" customFormat="false" ht="30" hidden="false" customHeight="true" outlineLevel="0" collapsed="false">
      <c r="A38" s="46" t="s">
        <v>877</v>
      </c>
      <c r="B38" s="46" t="s">
        <v>878</v>
      </c>
      <c r="C38" s="46" t="s">
        <v>882</v>
      </c>
      <c r="D38" s="6" t="s">
        <v>889</v>
      </c>
      <c r="E38" s="24" t="n">
        <v>8</v>
      </c>
      <c r="F38" s="24" t="n">
        <v>5</v>
      </c>
      <c r="G38" s="6" t="s">
        <v>2535</v>
      </c>
    </row>
    <row r="39" customFormat="false" ht="30" hidden="false" customHeight="true" outlineLevel="0" collapsed="false">
      <c r="A39" s="46" t="s">
        <v>893</v>
      </c>
      <c r="B39" s="46" t="s">
        <v>894</v>
      </c>
      <c r="C39" s="46" t="s">
        <v>882</v>
      </c>
      <c r="D39" s="6" t="s">
        <v>903</v>
      </c>
      <c r="E39" s="24" t="n">
        <v>6</v>
      </c>
      <c r="F39" s="24" t="n">
        <v>4</v>
      </c>
      <c r="G39" s="6" t="s">
        <v>2535</v>
      </c>
    </row>
    <row r="40" customFormat="false" ht="30" hidden="false" customHeight="true" outlineLevel="0" collapsed="false">
      <c r="A40" s="46" t="s">
        <v>907</v>
      </c>
      <c r="B40" s="46" t="s">
        <v>908</v>
      </c>
      <c r="C40" s="46" t="s">
        <v>910</v>
      </c>
      <c r="D40" s="6" t="s">
        <v>917</v>
      </c>
      <c r="E40" s="24" t="n">
        <v>5</v>
      </c>
      <c r="F40" s="24" t="n">
        <v>3</v>
      </c>
      <c r="G40" s="6" t="s">
        <v>2535</v>
      </c>
    </row>
    <row r="41" customFormat="false" ht="30" hidden="false" customHeight="true" outlineLevel="0" collapsed="false">
      <c r="A41" s="46" t="s">
        <v>921</v>
      </c>
      <c r="B41" s="46" t="s">
        <v>922</v>
      </c>
      <c r="C41" s="46" t="s">
        <v>910</v>
      </c>
      <c r="D41" s="6" t="s">
        <v>931</v>
      </c>
      <c r="E41" s="24" t="n">
        <v>5</v>
      </c>
      <c r="F41" s="24" t="n">
        <v>3</v>
      </c>
      <c r="G41" s="6" t="s">
        <v>2535</v>
      </c>
    </row>
    <row r="42" customFormat="false" ht="30" hidden="false" customHeight="true" outlineLevel="0" collapsed="false">
      <c r="A42" s="46" t="s">
        <v>933</v>
      </c>
      <c r="B42" s="46" t="s">
        <v>934</v>
      </c>
      <c r="C42" s="46" t="s">
        <v>882</v>
      </c>
      <c r="D42" s="6" t="s">
        <v>942</v>
      </c>
      <c r="E42" s="24" t="n">
        <v>5</v>
      </c>
      <c r="F42" s="24" t="n">
        <v>4</v>
      </c>
      <c r="G42" s="6" t="s">
        <v>2535</v>
      </c>
    </row>
    <row r="43" customFormat="false" ht="30" hidden="false" customHeight="true" outlineLevel="0" collapsed="false">
      <c r="A43" s="46" t="s">
        <v>946</v>
      </c>
      <c r="B43" s="46" t="s">
        <v>947</v>
      </c>
      <c r="C43" s="46" t="s">
        <v>882</v>
      </c>
      <c r="D43" s="6" t="s">
        <v>955</v>
      </c>
      <c r="E43" s="24" t="n">
        <v>5</v>
      </c>
      <c r="F43" s="24" t="n">
        <v>4</v>
      </c>
      <c r="G43" s="6" t="s">
        <v>2541</v>
      </c>
    </row>
    <row r="44" customFormat="false" ht="30" hidden="false" customHeight="true" outlineLevel="0" collapsed="false">
      <c r="A44" s="46" t="s">
        <v>958</v>
      </c>
      <c r="B44" s="46" t="s">
        <v>959</v>
      </c>
      <c r="C44" s="46" t="s">
        <v>961</v>
      </c>
      <c r="D44" s="6" t="s">
        <v>969</v>
      </c>
      <c r="E44" s="24" t="n">
        <v>5</v>
      </c>
      <c r="F44" s="24" t="n">
        <v>2</v>
      </c>
      <c r="G44" s="6" t="s">
        <v>2535</v>
      </c>
    </row>
    <row r="45" customFormat="false" ht="30" hidden="false" customHeight="true" outlineLevel="0" collapsed="false">
      <c r="A45" s="46" t="s">
        <v>974</v>
      </c>
      <c r="B45" s="46" t="s">
        <v>975</v>
      </c>
      <c r="C45" s="46" t="s">
        <v>910</v>
      </c>
      <c r="D45" s="6" t="s">
        <v>983</v>
      </c>
      <c r="E45" s="24" t="n">
        <v>4</v>
      </c>
      <c r="F45" s="24" t="n">
        <v>3</v>
      </c>
      <c r="G45" s="6" t="s">
        <v>2535</v>
      </c>
    </row>
    <row r="46" customFormat="false" ht="30" hidden="false" customHeight="true" outlineLevel="0" collapsed="false">
      <c r="A46" s="46" t="s">
        <v>986</v>
      </c>
      <c r="B46" s="46" t="s">
        <v>987</v>
      </c>
      <c r="C46" s="46" t="s">
        <v>882</v>
      </c>
      <c r="D46" s="6" t="s">
        <v>994</v>
      </c>
      <c r="E46" s="24" t="n">
        <v>5</v>
      </c>
      <c r="F46" s="24" t="n">
        <v>3</v>
      </c>
      <c r="G46" s="6" t="s">
        <v>2535</v>
      </c>
    </row>
    <row r="47" customFormat="false" ht="30" hidden="false" customHeight="true" outlineLevel="0" collapsed="false">
      <c r="A47" s="46" t="s">
        <v>997</v>
      </c>
      <c r="B47" s="46" t="s">
        <v>998</v>
      </c>
      <c r="C47" s="46" t="s">
        <v>961</v>
      </c>
      <c r="D47" s="6" t="s">
        <v>1005</v>
      </c>
      <c r="E47" s="24" t="n">
        <v>4</v>
      </c>
      <c r="F47" s="24" t="n">
        <v>2</v>
      </c>
      <c r="G47" s="6" t="s">
        <v>2535</v>
      </c>
    </row>
    <row r="48" customFormat="false" ht="30" hidden="false" customHeight="true" outlineLevel="0" collapsed="false">
      <c r="A48" s="46" t="s">
        <v>1007</v>
      </c>
      <c r="B48" s="46" t="s">
        <v>1008</v>
      </c>
      <c r="C48" s="46" t="s">
        <v>910</v>
      </c>
      <c r="D48" s="6" t="s">
        <v>1015</v>
      </c>
      <c r="E48" s="24" t="n">
        <v>4</v>
      </c>
      <c r="F48" s="24" t="n">
        <v>3</v>
      </c>
      <c r="G48" s="6" t="s">
        <v>2535</v>
      </c>
    </row>
    <row r="49" customFormat="false" ht="30" hidden="false" customHeight="true" outlineLevel="0" collapsed="false">
      <c r="A49" s="46" t="s">
        <v>1018</v>
      </c>
      <c r="B49" s="46" t="s">
        <v>1019</v>
      </c>
      <c r="C49" s="46" t="s">
        <v>882</v>
      </c>
      <c r="D49" s="6" t="s">
        <v>1029</v>
      </c>
      <c r="E49" s="24" t="n">
        <v>4</v>
      </c>
      <c r="F49" s="24" t="n">
        <v>3</v>
      </c>
      <c r="G49" s="6" t="s">
        <v>2535</v>
      </c>
    </row>
    <row r="50" customFormat="false" ht="30" hidden="false" customHeight="true" outlineLevel="0" collapsed="false">
      <c r="A50" s="46" t="s">
        <v>1035</v>
      </c>
      <c r="B50" s="46" t="s">
        <v>1036</v>
      </c>
      <c r="C50" s="46" t="s">
        <v>882</v>
      </c>
      <c r="D50" s="6" t="s">
        <v>1044</v>
      </c>
      <c r="E50" s="24" t="n">
        <v>4</v>
      </c>
      <c r="F50" s="24" t="n">
        <v>2</v>
      </c>
      <c r="G50" s="6" t="s">
        <v>2535</v>
      </c>
    </row>
    <row r="51" customFormat="false" ht="30" hidden="false" customHeight="true" outlineLevel="0" collapsed="false">
      <c r="A51" s="46" t="s">
        <v>1047</v>
      </c>
      <c r="B51" s="46" t="s">
        <v>1048</v>
      </c>
      <c r="C51" s="46" t="s">
        <v>1051</v>
      </c>
      <c r="D51" s="6" t="s">
        <v>1059</v>
      </c>
      <c r="E51" s="24" t="n">
        <v>7</v>
      </c>
      <c r="F51" s="24" t="n">
        <v>4</v>
      </c>
      <c r="G51" s="6" t="s">
        <v>2535</v>
      </c>
    </row>
    <row r="52" customFormat="false" ht="30" hidden="false" customHeight="true" outlineLevel="0" collapsed="false">
      <c r="A52" s="46" t="s">
        <v>1063</v>
      </c>
      <c r="B52" s="46" t="s">
        <v>1064</v>
      </c>
      <c r="C52" s="46" t="s">
        <v>1066</v>
      </c>
      <c r="D52" s="6" t="s">
        <v>1073</v>
      </c>
      <c r="E52" s="24" t="n">
        <v>5</v>
      </c>
      <c r="F52" s="24" t="n">
        <v>2</v>
      </c>
      <c r="G52" s="6" t="s">
        <v>2535</v>
      </c>
    </row>
    <row r="53" customFormat="false" ht="30" hidden="false" customHeight="true" outlineLevel="0" collapsed="false">
      <c r="A53" s="46" t="s">
        <v>1076</v>
      </c>
      <c r="B53" s="46" t="s">
        <v>1077</v>
      </c>
      <c r="C53" s="46" t="s">
        <v>1066</v>
      </c>
      <c r="D53" s="6" t="s">
        <v>1084</v>
      </c>
      <c r="E53" s="24" t="n">
        <v>5</v>
      </c>
      <c r="F53" s="24" t="n">
        <v>2</v>
      </c>
      <c r="G53" s="6" t="s">
        <v>2535</v>
      </c>
    </row>
    <row r="54" customFormat="false" ht="30" hidden="false" customHeight="true" outlineLevel="0" collapsed="false">
      <c r="A54" s="46" t="s">
        <v>1087</v>
      </c>
      <c r="B54" s="46" t="s">
        <v>1088</v>
      </c>
      <c r="C54" s="46" t="s">
        <v>1090</v>
      </c>
      <c r="D54" s="6" t="s">
        <v>1098</v>
      </c>
      <c r="E54" s="24" t="n">
        <v>5</v>
      </c>
      <c r="F54" s="24" t="n">
        <v>3</v>
      </c>
      <c r="G54" s="6" t="s">
        <v>2535</v>
      </c>
    </row>
    <row r="55" customFormat="false" ht="30" hidden="false" customHeight="true" outlineLevel="0" collapsed="false">
      <c r="A55" s="46" t="s">
        <v>1103</v>
      </c>
      <c r="B55" s="46" t="s">
        <v>1104</v>
      </c>
      <c r="C55" s="46" t="s">
        <v>1090</v>
      </c>
      <c r="D55" s="6" t="s">
        <v>1111</v>
      </c>
      <c r="E55" s="24" t="n">
        <v>4</v>
      </c>
      <c r="F55" s="24" t="n">
        <v>3</v>
      </c>
      <c r="G55" s="6" t="s">
        <v>2535</v>
      </c>
    </row>
    <row r="56" customFormat="false" ht="30" hidden="false" customHeight="true" outlineLevel="0" collapsed="false">
      <c r="A56" s="46" t="s">
        <v>1114</v>
      </c>
      <c r="B56" s="46" t="s">
        <v>1115</v>
      </c>
      <c r="C56" s="46" t="s">
        <v>1090</v>
      </c>
      <c r="D56" s="6" t="s">
        <v>1123</v>
      </c>
      <c r="E56" s="24" t="n">
        <v>5</v>
      </c>
      <c r="F56" s="24" t="n">
        <v>3</v>
      </c>
      <c r="G56" s="6" t="s">
        <v>2542</v>
      </c>
    </row>
    <row r="57" customFormat="false" ht="30" hidden="false" customHeight="true" outlineLevel="0" collapsed="false">
      <c r="A57" s="46" t="s">
        <v>1127</v>
      </c>
      <c r="B57" s="46" t="s">
        <v>1128</v>
      </c>
      <c r="C57" s="46" t="s">
        <v>1051</v>
      </c>
      <c r="D57" s="6" t="s">
        <v>1137</v>
      </c>
      <c r="E57" s="24" t="n">
        <v>5</v>
      </c>
      <c r="F57" s="24" t="n">
        <v>4</v>
      </c>
      <c r="G57" s="6" t="s">
        <v>2535</v>
      </c>
    </row>
    <row r="58" customFormat="false" ht="30" hidden="false" customHeight="true" outlineLevel="0" collapsed="false">
      <c r="A58" s="46" t="s">
        <v>1140</v>
      </c>
      <c r="B58" s="46" t="s">
        <v>1141</v>
      </c>
      <c r="C58" s="46" t="s">
        <v>1051</v>
      </c>
      <c r="D58" s="6" t="s">
        <v>1149</v>
      </c>
      <c r="E58" s="24" t="n">
        <v>5</v>
      </c>
      <c r="F58" s="24" t="n">
        <v>3</v>
      </c>
      <c r="G58" s="6" t="s">
        <v>2535</v>
      </c>
    </row>
    <row r="59" customFormat="false" ht="30" hidden="false" customHeight="true" outlineLevel="0" collapsed="false">
      <c r="A59" s="46" t="s">
        <v>1152</v>
      </c>
      <c r="B59" s="46" t="s">
        <v>1153</v>
      </c>
      <c r="C59" s="46" t="s">
        <v>1051</v>
      </c>
      <c r="D59" s="6" t="s">
        <v>1162</v>
      </c>
      <c r="E59" s="24" t="n">
        <v>4</v>
      </c>
      <c r="F59" s="24" t="n">
        <v>3</v>
      </c>
      <c r="G59" s="6" t="s">
        <v>2535</v>
      </c>
    </row>
    <row r="60" customFormat="false" ht="30" hidden="false" customHeight="true" outlineLevel="0" collapsed="false">
      <c r="A60" s="46" t="s">
        <v>1166</v>
      </c>
      <c r="B60" s="46" t="s">
        <v>1167</v>
      </c>
      <c r="C60" s="46" t="s">
        <v>1169</v>
      </c>
      <c r="D60" s="6" t="s">
        <v>1177</v>
      </c>
      <c r="E60" s="24" t="n">
        <v>4</v>
      </c>
      <c r="F60" s="24" t="n">
        <v>1</v>
      </c>
      <c r="G60" s="6" t="s">
        <v>2543</v>
      </c>
    </row>
    <row r="61" customFormat="false" ht="30" hidden="false" customHeight="true" outlineLevel="0" collapsed="false">
      <c r="A61" s="46" t="s">
        <v>1181</v>
      </c>
      <c r="B61" s="46" t="s">
        <v>1182</v>
      </c>
      <c r="C61" s="46" t="s">
        <v>1066</v>
      </c>
      <c r="D61" s="6" t="s">
        <v>1190</v>
      </c>
      <c r="E61" s="24" t="n">
        <v>4</v>
      </c>
      <c r="F61" s="24" t="n">
        <v>2</v>
      </c>
      <c r="G61" s="6" t="s">
        <v>2535</v>
      </c>
    </row>
    <row r="62" customFormat="false" ht="30" hidden="false" customHeight="true" outlineLevel="0" collapsed="false">
      <c r="A62" s="46" t="s">
        <v>1193</v>
      </c>
      <c r="B62" s="46" t="s">
        <v>1194</v>
      </c>
      <c r="C62" s="46" t="s">
        <v>1051</v>
      </c>
      <c r="D62" s="6" t="s">
        <v>1202</v>
      </c>
      <c r="E62" s="24" t="n">
        <v>4</v>
      </c>
      <c r="F62" s="24" t="n">
        <v>2</v>
      </c>
      <c r="G62" s="6" t="s">
        <v>2535</v>
      </c>
    </row>
    <row r="63" customFormat="false" ht="30" hidden="false" customHeight="true" outlineLevel="0" collapsed="false">
      <c r="A63" s="46" t="s">
        <v>1205</v>
      </c>
      <c r="B63" s="46" t="s">
        <v>1206</v>
      </c>
      <c r="C63" s="46" t="s">
        <v>1209</v>
      </c>
      <c r="D63" s="6" t="s">
        <v>1217</v>
      </c>
      <c r="E63" s="24" t="n">
        <v>6</v>
      </c>
      <c r="F63" s="24" t="n">
        <v>4</v>
      </c>
      <c r="G63" s="6" t="s">
        <v>2535</v>
      </c>
    </row>
    <row r="64" customFormat="false" ht="30" hidden="false" customHeight="true" outlineLevel="0" collapsed="false">
      <c r="A64" s="46" t="s">
        <v>1222</v>
      </c>
      <c r="B64" s="46" t="s">
        <v>1223</v>
      </c>
      <c r="C64" s="46" t="s">
        <v>1209</v>
      </c>
      <c r="D64" s="6" t="s">
        <v>1231</v>
      </c>
      <c r="E64" s="24" t="n">
        <v>4</v>
      </c>
      <c r="F64" s="24" t="n">
        <v>4</v>
      </c>
      <c r="G64" s="6" t="s">
        <v>2535</v>
      </c>
    </row>
    <row r="65" customFormat="false" ht="30" hidden="false" customHeight="true" outlineLevel="0" collapsed="false">
      <c r="A65" s="46" t="s">
        <v>1234</v>
      </c>
      <c r="B65" s="46" t="s">
        <v>1235</v>
      </c>
      <c r="C65" s="46" t="s">
        <v>1209</v>
      </c>
      <c r="D65" s="6" t="s">
        <v>1243</v>
      </c>
      <c r="E65" s="24" t="n">
        <v>4</v>
      </c>
      <c r="F65" s="24" t="n">
        <v>4</v>
      </c>
      <c r="G65" s="6" t="s">
        <v>2535</v>
      </c>
    </row>
    <row r="66" customFormat="false" ht="30" hidden="false" customHeight="true" outlineLevel="0" collapsed="false">
      <c r="A66" s="46" t="s">
        <v>1245</v>
      </c>
      <c r="B66" s="46" t="s">
        <v>1246</v>
      </c>
      <c r="C66" s="46" t="s">
        <v>1209</v>
      </c>
      <c r="D66" s="6" t="s">
        <v>1253</v>
      </c>
      <c r="E66" s="24" t="n">
        <v>4</v>
      </c>
      <c r="F66" s="24" t="n">
        <v>4</v>
      </c>
      <c r="G66" s="6" t="s">
        <v>2535</v>
      </c>
    </row>
    <row r="67" customFormat="false" ht="30" hidden="false" customHeight="true" outlineLevel="0" collapsed="false">
      <c r="A67" s="46" t="s">
        <v>1255</v>
      </c>
      <c r="B67" s="46" t="s">
        <v>1256</v>
      </c>
      <c r="C67" s="46" t="s">
        <v>1258</v>
      </c>
      <c r="D67" s="6" t="s">
        <v>1264</v>
      </c>
      <c r="E67" s="24" t="n">
        <v>5</v>
      </c>
      <c r="F67" s="24" t="n">
        <v>1</v>
      </c>
      <c r="G67" s="6" t="s">
        <v>2544</v>
      </c>
    </row>
    <row r="68" customFormat="false" ht="30" hidden="false" customHeight="true" outlineLevel="0" collapsed="false">
      <c r="A68" s="46" t="s">
        <v>1267</v>
      </c>
      <c r="B68" s="46" t="s">
        <v>1268</v>
      </c>
      <c r="C68" s="46" t="s">
        <v>1209</v>
      </c>
      <c r="D68" s="6" t="s">
        <v>1275</v>
      </c>
      <c r="E68" s="24" t="n">
        <v>4</v>
      </c>
      <c r="F68" s="24" t="n">
        <v>3</v>
      </c>
      <c r="G68" s="6" t="s">
        <v>2535</v>
      </c>
    </row>
    <row r="69" customFormat="false" ht="30" hidden="false" customHeight="true" outlineLevel="0" collapsed="false">
      <c r="A69" s="46" t="s">
        <v>1278</v>
      </c>
      <c r="B69" s="46" t="s">
        <v>1279</v>
      </c>
      <c r="C69" s="46" t="s">
        <v>1258</v>
      </c>
      <c r="D69" s="6" t="s">
        <v>1285</v>
      </c>
      <c r="E69" s="24" t="n">
        <v>5</v>
      </c>
      <c r="F69" s="24" t="n">
        <v>1</v>
      </c>
      <c r="G69" s="6" t="s">
        <v>2545</v>
      </c>
    </row>
    <row r="70" customFormat="false" ht="30" hidden="false" customHeight="true" outlineLevel="0" collapsed="false">
      <c r="A70" s="46" t="s">
        <v>1288</v>
      </c>
      <c r="B70" s="46" t="s">
        <v>1289</v>
      </c>
      <c r="C70" s="46" t="s">
        <v>1292</v>
      </c>
      <c r="D70" s="6" t="s">
        <v>1299</v>
      </c>
      <c r="E70" s="24" t="n">
        <v>6</v>
      </c>
      <c r="F70" s="24" t="n">
        <v>2</v>
      </c>
      <c r="G70" s="6" t="s">
        <v>2535</v>
      </c>
    </row>
    <row r="71" customFormat="false" ht="30" hidden="false" customHeight="true" outlineLevel="0" collapsed="false">
      <c r="A71" s="46" t="s">
        <v>1302</v>
      </c>
      <c r="B71" s="46" t="s">
        <v>1303</v>
      </c>
      <c r="C71" s="46" t="s">
        <v>1305</v>
      </c>
      <c r="D71" s="6" t="s">
        <v>1312</v>
      </c>
      <c r="E71" s="24" t="n">
        <v>5</v>
      </c>
      <c r="F71" s="24" t="n">
        <v>3</v>
      </c>
      <c r="G71" s="6" t="s">
        <v>2535</v>
      </c>
    </row>
    <row r="72" customFormat="false" ht="30" hidden="false" customHeight="true" outlineLevel="0" collapsed="false">
      <c r="A72" s="46" t="s">
        <v>1315</v>
      </c>
      <c r="B72" s="46" t="s">
        <v>1316</v>
      </c>
      <c r="C72" s="46" t="s">
        <v>1305</v>
      </c>
      <c r="D72" s="6" t="s">
        <v>1324</v>
      </c>
      <c r="E72" s="24" t="n">
        <v>5</v>
      </c>
      <c r="F72" s="24" t="n">
        <v>3</v>
      </c>
      <c r="G72" s="6" t="s">
        <v>2535</v>
      </c>
    </row>
    <row r="73" customFormat="false" ht="30" hidden="false" customHeight="true" outlineLevel="0" collapsed="false">
      <c r="A73" s="46" t="s">
        <v>1327</v>
      </c>
      <c r="B73" s="46" t="s">
        <v>1328</v>
      </c>
      <c r="C73" s="46" t="s">
        <v>1305</v>
      </c>
      <c r="D73" s="6" t="s">
        <v>1336</v>
      </c>
      <c r="E73" s="24" t="n">
        <v>5</v>
      </c>
      <c r="F73" s="24" t="n">
        <v>3</v>
      </c>
      <c r="G73" s="6" t="s">
        <v>2535</v>
      </c>
    </row>
    <row r="74" customFormat="false" ht="30" hidden="false" customHeight="true" outlineLevel="0" collapsed="false">
      <c r="A74" s="46" t="s">
        <v>1340</v>
      </c>
      <c r="B74" s="46" t="s">
        <v>1341</v>
      </c>
      <c r="C74" s="46" t="s">
        <v>1292</v>
      </c>
      <c r="D74" s="6" t="s">
        <v>1348</v>
      </c>
      <c r="E74" s="24" t="n">
        <v>4</v>
      </c>
      <c r="F74" s="24" t="n">
        <v>2</v>
      </c>
      <c r="G74" s="6" t="s">
        <v>2535</v>
      </c>
    </row>
    <row r="75" customFormat="false" ht="30" hidden="false" customHeight="true" outlineLevel="0" collapsed="false">
      <c r="A75" s="46" t="s">
        <v>1352</v>
      </c>
      <c r="B75" s="46" t="s">
        <v>1353</v>
      </c>
      <c r="C75" s="46" t="s">
        <v>1292</v>
      </c>
      <c r="D75" s="6" t="s">
        <v>1361</v>
      </c>
      <c r="E75" s="24" t="n">
        <v>4</v>
      </c>
      <c r="F75" s="24" t="n">
        <v>2</v>
      </c>
      <c r="G75" s="6" t="s">
        <v>2535</v>
      </c>
    </row>
    <row r="76" customFormat="false" ht="30" hidden="false" customHeight="true" outlineLevel="0" collapsed="false">
      <c r="A76" s="46" t="s">
        <v>1364</v>
      </c>
      <c r="B76" s="46" t="s">
        <v>1365</v>
      </c>
      <c r="C76" s="46" t="s">
        <v>1305</v>
      </c>
      <c r="D76" s="6" t="s">
        <v>1372</v>
      </c>
      <c r="E76" s="24" t="n">
        <v>4</v>
      </c>
      <c r="F76" s="24" t="n">
        <v>2</v>
      </c>
      <c r="G76" s="6" t="s">
        <v>2535</v>
      </c>
    </row>
    <row r="77" customFormat="false" ht="30" hidden="false" customHeight="true" outlineLevel="0" collapsed="false">
      <c r="A77" s="46" t="s">
        <v>1375</v>
      </c>
      <c r="B77" s="46" t="s">
        <v>1376</v>
      </c>
      <c r="C77" s="46" t="s">
        <v>1380</v>
      </c>
      <c r="D77" s="6" t="s">
        <v>1387</v>
      </c>
      <c r="E77" s="24" t="n">
        <v>5</v>
      </c>
      <c r="F77" s="24" t="n">
        <v>4</v>
      </c>
      <c r="G77" s="6" t="s">
        <v>2535</v>
      </c>
    </row>
    <row r="78" customFormat="false" ht="30" hidden="false" customHeight="true" outlineLevel="0" collapsed="false">
      <c r="A78" s="46" t="s">
        <v>1391</v>
      </c>
      <c r="B78" s="46" t="s">
        <v>1392</v>
      </c>
      <c r="C78" s="46" t="s">
        <v>1380</v>
      </c>
      <c r="D78" s="6" t="s">
        <v>1400</v>
      </c>
      <c r="E78" s="24" t="n">
        <v>4</v>
      </c>
      <c r="F78" s="24" t="n">
        <v>3</v>
      </c>
      <c r="G78" s="6" t="s">
        <v>2535</v>
      </c>
    </row>
    <row r="79" customFormat="false" ht="30" hidden="false" customHeight="true" outlineLevel="0" collapsed="false">
      <c r="A79" s="46" t="s">
        <v>1403</v>
      </c>
      <c r="B79" s="46" t="s">
        <v>1404</v>
      </c>
      <c r="C79" s="46" t="s">
        <v>1380</v>
      </c>
      <c r="D79" s="6" t="s">
        <v>1412</v>
      </c>
      <c r="E79" s="24" t="n">
        <v>5</v>
      </c>
      <c r="F79" s="24" t="n">
        <v>5</v>
      </c>
      <c r="G79" s="6" t="s">
        <v>2546</v>
      </c>
    </row>
    <row r="80" customFormat="false" ht="30" hidden="false" customHeight="true" outlineLevel="0" collapsed="false">
      <c r="A80" s="46" t="s">
        <v>1416</v>
      </c>
      <c r="B80" s="46" t="s">
        <v>1417</v>
      </c>
      <c r="C80" s="46" t="s">
        <v>1420</v>
      </c>
      <c r="D80" s="6" t="s">
        <v>1427</v>
      </c>
      <c r="E80" s="24" t="n">
        <v>4</v>
      </c>
      <c r="F80" s="24" t="n">
        <v>2</v>
      </c>
      <c r="G80" s="6" t="s">
        <v>2535</v>
      </c>
    </row>
    <row r="81" customFormat="false" ht="30" hidden="false" customHeight="true" outlineLevel="0" collapsed="false">
      <c r="A81" s="46" t="s">
        <v>1431</v>
      </c>
      <c r="B81" s="46" t="s">
        <v>1432</v>
      </c>
      <c r="C81" s="46" t="s">
        <v>1434</v>
      </c>
      <c r="D81" s="6" t="s">
        <v>1442</v>
      </c>
      <c r="E81" s="24" t="n">
        <v>5</v>
      </c>
      <c r="F81" s="24" t="n">
        <v>1</v>
      </c>
      <c r="G81" s="6" t="s">
        <v>2547</v>
      </c>
    </row>
    <row r="82" customFormat="false" ht="30" hidden="false" customHeight="true" outlineLevel="0" collapsed="false">
      <c r="A82" s="46" t="s">
        <v>1446</v>
      </c>
      <c r="B82" s="46" t="s">
        <v>1447</v>
      </c>
      <c r="C82" s="46" t="s">
        <v>1380</v>
      </c>
      <c r="D82" s="6" t="s">
        <v>1456</v>
      </c>
      <c r="E82" s="24" t="n">
        <v>5</v>
      </c>
      <c r="F82" s="24" t="n">
        <v>5</v>
      </c>
      <c r="G82" s="6" t="s">
        <v>2548</v>
      </c>
    </row>
    <row r="83" customFormat="false" ht="30" hidden="false" customHeight="true" outlineLevel="0" collapsed="false">
      <c r="A83" s="46" t="s">
        <v>1460</v>
      </c>
      <c r="B83" s="46" t="s">
        <v>1461</v>
      </c>
      <c r="C83" s="46" t="s">
        <v>1464</v>
      </c>
      <c r="D83" s="6" t="s">
        <v>1471</v>
      </c>
      <c r="E83" s="24" t="n">
        <v>4</v>
      </c>
      <c r="F83" s="24" t="n">
        <v>1</v>
      </c>
      <c r="G83" s="6" t="s">
        <v>2549</v>
      </c>
    </row>
    <row r="84" customFormat="false" ht="30" hidden="false" customHeight="true" outlineLevel="0" collapsed="false">
      <c r="A84" s="46" t="s">
        <v>1474</v>
      </c>
      <c r="B84" s="46" t="s">
        <v>1475</v>
      </c>
      <c r="C84" s="46" t="s">
        <v>1380</v>
      </c>
      <c r="D84" s="6" t="s">
        <v>1483</v>
      </c>
      <c r="E84" s="24" t="n">
        <v>5</v>
      </c>
      <c r="F84" s="24" t="n">
        <v>5</v>
      </c>
      <c r="G84" s="6" t="s">
        <v>2535</v>
      </c>
    </row>
    <row r="85" customFormat="false" ht="30" hidden="false" customHeight="true" outlineLevel="0" collapsed="false">
      <c r="A85" s="46" t="s">
        <v>1486</v>
      </c>
      <c r="B85" s="46" t="s">
        <v>1487</v>
      </c>
      <c r="C85" s="46" t="s">
        <v>1380</v>
      </c>
      <c r="D85" s="6" t="s">
        <v>1494</v>
      </c>
      <c r="E85" s="24" t="n">
        <v>4</v>
      </c>
      <c r="F85" s="24" t="n">
        <v>4</v>
      </c>
      <c r="G85" s="6" t="s">
        <v>2535</v>
      </c>
    </row>
    <row r="86" customFormat="false" ht="30" hidden="false" customHeight="true" outlineLevel="0" collapsed="false">
      <c r="A86" s="46" t="s">
        <v>1497</v>
      </c>
      <c r="B86" s="46" t="s">
        <v>1498</v>
      </c>
      <c r="C86" s="46" t="s">
        <v>1420</v>
      </c>
      <c r="D86" s="6" t="s">
        <v>1505</v>
      </c>
      <c r="E86" s="24" t="n">
        <v>3</v>
      </c>
      <c r="F86" s="24" t="n">
        <v>2</v>
      </c>
      <c r="G86" s="6" t="s">
        <v>2535</v>
      </c>
    </row>
    <row r="87" customFormat="false" ht="30" hidden="false" customHeight="true" outlineLevel="0" collapsed="false">
      <c r="A87" s="46" t="s">
        <v>1508</v>
      </c>
      <c r="B87" s="46" t="s">
        <v>1509</v>
      </c>
      <c r="C87" s="46" t="s">
        <v>1380</v>
      </c>
      <c r="D87" s="6" t="s">
        <v>1516</v>
      </c>
      <c r="E87" s="24" t="n">
        <v>4</v>
      </c>
      <c r="F87" s="24" t="n">
        <v>4</v>
      </c>
      <c r="G87" s="6" t="s">
        <v>2535</v>
      </c>
    </row>
    <row r="88" customFormat="false" ht="30" hidden="false" customHeight="true" outlineLevel="0" collapsed="false">
      <c r="A88" s="46" t="s">
        <v>1518</v>
      </c>
      <c r="B88" s="46" t="s">
        <v>1519</v>
      </c>
      <c r="C88" s="46" t="s">
        <v>1434</v>
      </c>
      <c r="D88" s="6" t="s">
        <v>1527</v>
      </c>
      <c r="E88" s="24" t="n">
        <v>3</v>
      </c>
      <c r="F88" s="24" t="n">
        <v>1</v>
      </c>
      <c r="G88" s="6" t="s">
        <v>2550</v>
      </c>
    </row>
    <row r="89" customFormat="false" ht="30" hidden="false" customHeight="true" outlineLevel="0" collapsed="false">
      <c r="A89" s="46" t="s">
        <v>1529</v>
      </c>
      <c r="B89" s="46" t="s">
        <v>1530</v>
      </c>
      <c r="C89" s="46" t="s">
        <v>1464</v>
      </c>
      <c r="D89" s="6" t="s">
        <v>1537</v>
      </c>
      <c r="E89" s="24" t="n">
        <v>4</v>
      </c>
      <c r="F89" s="24" t="n">
        <v>1</v>
      </c>
      <c r="G89" s="6" t="s">
        <v>2551</v>
      </c>
    </row>
    <row r="90" customFormat="false" ht="30" hidden="false" customHeight="true" outlineLevel="0" collapsed="false">
      <c r="A90" s="46" t="s">
        <v>1540</v>
      </c>
      <c r="B90" s="46" t="s">
        <v>1541</v>
      </c>
      <c r="C90" s="46" t="s">
        <v>1544</v>
      </c>
      <c r="D90" s="6" t="s">
        <v>1552</v>
      </c>
      <c r="E90" s="24" t="n">
        <v>3</v>
      </c>
      <c r="F90" s="24" t="n">
        <v>3</v>
      </c>
      <c r="G90" s="6" t="s">
        <v>2535</v>
      </c>
    </row>
    <row r="91" customFormat="false" ht="30" hidden="false" customHeight="true" outlineLevel="0" collapsed="false">
      <c r="A91" s="46" t="s">
        <v>1557</v>
      </c>
      <c r="B91" s="46" t="s">
        <v>1558</v>
      </c>
      <c r="C91" s="46" t="s">
        <v>1544</v>
      </c>
      <c r="D91" s="6" t="s">
        <v>1567</v>
      </c>
      <c r="E91" s="24" t="n">
        <v>3</v>
      </c>
      <c r="F91" s="24" t="n">
        <v>3</v>
      </c>
      <c r="G91" s="6" t="s">
        <v>2535</v>
      </c>
    </row>
    <row r="92" customFormat="false" ht="30" hidden="false" customHeight="true" outlineLevel="0" collapsed="false">
      <c r="A92" s="46" t="s">
        <v>1571</v>
      </c>
      <c r="B92" s="46" t="s">
        <v>1572</v>
      </c>
      <c r="C92" s="46" t="s">
        <v>1544</v>
      </c>
      <c r="D92" s="6" t="s">
        <v>1580</v>
      </c>
      <c r="E92" s="24" t="n">
        <v>3</v>
      </c>
      <c r="F92" s="24" t="n">
        <v>3</v>
      </c>
      <c r="G92" s="6" t="s">
        <v>2535</v>
      </c>
    </row>
    <row r="93" customFormat="false" ht="30" hidden="false" customHeight="true" outlineLevel="0" collapsed="false">
      <c r="A93" s="46" t="s">
        <v>1583</v>
      </c>
      <c r="B93" s="46" t="s">
        <v>1584</v>
      </c>
      <c r="C93" s="46" t="s">
        <v>1587</v>
      </c>
      <c r="D93" s="6" t="s">
        <v>1595</v>
      </c>
      <c r="E93" s="24" t="n">
        <v>5</v>
      </c>
      <c r="F93" s="24" t="n">
        <v>1</v>
      </c>
      <c r="G93" s="6" t="s">
        <v>2552</v>
      </c>
    </row>
    <row r="94" customFormat="false" ht="30" hidden="false" customHeight="true" outlineLevel="0" collapsed="false">
      <c r="A94" s="46" t="s">
        <v>1599</v>
      </c>
      <c r="B94" s="46" t="s">
        <v>1600</v>
      </c>
      <c r="C94" s="46" t="s">
        <v>1603</v>
      </c>
      <c r="D94" s="6" t="s">
        <v>1611</v>
      </c>
      <c r="E94" s="24" t="n">
        <v>3</v>
      </c>
      <c r="F94" s="24" t="n">
        <v>1</v>
      </c>
      <c r="G94" s="6" t="s">
        <v>2553</v>
      </c>
    </row>
    <row r="95" customFormat="false" ht="30" hidden="false" customHeight="true" outlineLevel="0" collapsed="false">
      <c r="A95" s="46" t="s">
        <v>1615</v>
      </c>
      <c r="B95" s="46" t="s">
        <v>1616</v>
      </c>
      <c r="C95" s="46" t="s">
        <v>1603</v>
      </c>
      <c r="D95" s="6" t="s">
        <v>1625</v>
      </c>
      <c r="E95" s="24" t="n">
        <v>3</v>
      </c>
      <c r="F95" s="24" t="n">
        <v>1</v>
      </c>
      <c r="G95" s="6" t="s">
        <v>2554</v>
      </c>
    </row>
    <row r="96" customFormat="false" ht="30" hidden="false" customHeight="true" outlineLevel="0" collapsed="false">
      <c r="A96" s="46" t="s">
        <v>1628</v>
      </c>
      <c r="B96" s="46" t="s">
        <v>1629</v>
      </c>
      <c r="C96" s="46" t="s">
        <v>1544</v>
      </c>
      <c r="D96" s="6" t="s">
        <v>1636</v>
      </c>
      <c r="E96" s="24" t="n">
        <v>3</v>
      </c>
      <c r="F96" s="24" t="n">
        <v>3</v>
      </c>
      <c r="G96" s="6" t="s">
        <v>2535</v>
      </c>
    </row>
    <row r="97" customFormat="false" ht="30" hidden="false" customHeight="true" outlineLevel="0" collapsed="false">
      <c r="A97" s="46" t="s">
        <v>1638</v>
      </c>
      <c r="B97" s="46" t="s">
        <v>1639</v>
      </c>
      <c r="C97" s="46" t="s">
        <v>1642</v>
      </c>
      <c r="D97" s="6" t="s">
        <v>1650</v>
      </c>
      <c r="E97" s="24" t="n">
        <v>5</v>
      </c>
      <c r="F97" s="24" t="n">
        <v>2</v>
      </c>
      <c r="G97" s="6" t="s">
        <v>2535</v>
      </c>
    </row>
    <row r="98" customFormat="false" ht="30" hidden="false" customHeight="true" outlineLevel="0" collapsed="false">
      <c r="A98" s="46" t="s">
        <v>1656</v>
      </c>
      <c r="B98" s="46" t="s">
        <v>1657</v>
      </c>
      <c r="C98" s="46" t="s">
        <v>1642</v>
      </c>
      <c r="D98" s="6" t="s">
        <v>1665</v>
      </c>
      <c r="E98" s="24" t="n">
        <v>5</v>
      </c>
      <c r="F98" s="24" t="n">
        <v>2</v>
      </c>
      <c r="G98" s="6" t="s">
        <v>2535</v>
      </c>
    </row>
    <row r="99" customFormat="false" ht="30" hidden="false" customHeight="true" outlineLevel="0" collapsed="false">
      <c r="A99" s="46" t="s">
        <v>1669</v>
      </c>
      <c r="B99" s="46" t="s">
        <v>1670</v>
      </c>
      <c r="C99" s="46" t="s">
        <v>1672</v>
      </c>
      <c r="D99" s="6" t="s">
        <v>1679</v>
      </c>
      <c r="E99" s="24" t="n">
        <v>4</v>
      </c>
      <c r="F99" s="24" t="n">
        <v>1</v>
      </c>
      <c r="G99" s="6" t="s">
        <v>2555</v>
      </c>
    </row>
    <row r="100" customFormat="false" ht="30" hidden="false" customHeight="true" outlineLevel="0" collapsed="false">
      <c r="A100" s="46" t="s">
        <v>1683</v>
      </c>
      <c r="B100" s="46" t="s">
        <v>1684</v>
      </c>
      <c r="C100" s="46" t="s">
        <v>1642</v>
      </c>
      <c r="D100" s="6" t="s">
        <v>1692</v>
      </c>
      <c r="E100" s="24" t="n">
        <v>4</v>
      </c>
      <c r="F100" s="24" t="n">
        <v>2</v>
      </c>
      <c r="G100" s="6" t="s">
        <v>2535</v>
      </c>
    </row>
    <row r="101" customFormat="false" ht="30" hidden="false" customHeight="true" outlineLevel="0" collapsed="false">
      <c r="A101" s="46" t="s">
        <v>1695</v>
      </c>
      <c r="B101" s="46" t="s">
        <v>1696</v>
      </c>
      <c r="C101" s="46" t="s">
        <v>1672</v>
      </c>
      <c r="D101" s="6" t="s">
        <v>1705</v>
      </c>
      <c r="E101" s="24" t="n">
        <v>5</v>
      </c>
      <c r="F101" s="24" t="n">
        <v>3</v>
      </c>
      <c r="G101" s="6" t="s">
        <v>2535</v>
      </c>
    </row>
    <row r="102" customFormat="false" ht="30" hidden="false" customHeight="true" outlineLevel="0" collapsed="false">
      <c r="A102" s="46" t="s">
        <v>1709</v>
      </c>
      <c r="B102" s="46" t="s">
        <v>1710</v>
      </c>
      <c r="C102" s="46" t="s">
        <v>1672</v>
      </c>
      <c r="D102" s="6" t="s">
        <v>1719</v>
      </c>
      <c r="E102" s="24" t="n">
        <v>5</v>
      </c>
      <c r="F102" s="24" t="n">
        <v>3</v>
      </c>
      <c r="G102" s="6" t="s">
        <v>2535</v>
      </c>
    </row>
    <row r="103" customFormat="false" ht="26.25" hidden="false" customHeight="true" outlineLevel="0" collapsed="false">
      <c r="A103" s="46" t="s">
        <v>1723</v>
      </c>
      <c r="B103" s="46" t="s">
        <v>1724</v>
      </c>
      <c r="C103" s="46" t="s">
        <v>597</v>
      </c>
      <c r="D103" s="6" t="s">
        <v>1733</v>
      </c>
      <c r="E103" s="24" t="n">
        <v>6</v>
      </c>
      <c r="F103" s="24" t="n">
        <v>3</v>
      </c>
      <c r="G103" s="6" t="s">
        <v>2535</v>
      </c>
    </row>
    <row r="104" customFormat="false" ht="26.25" hidden="false" customHeight="true" outlineLevel="0" collapsed="false">
      <c r="A104" s="46" t="s">
        <v>1737</v>
      </c>
      <c r="B104" s="46" t="s">
        <v>1738</v>
      </c>
      <c r="C104" s="46" t="s">
        <v>597</v>
      </c>
      <c r="D104" s="6" t="s">
        <v>1746</v>
      </c>
      <c r="E104" s="24" t="n">
        <v>7</v>
      </c>
      <c r="F104" s="24" t="n">
        <v>2</v>
      </c>
      <c r="G104" s="6" t="s">
        <v>2535</v>
      </c>
    </row>
    <row r="105" customFormat="false" ht="26.25" hidden="false" customHeight="true" outlineLevel="0" collapsed="false">
      <c r="A105" s="46" t="s">
        <v>1748</v>
      </c>
      <c r="B105" s="46" t="s">
        <v>1749</v>
      </c>
      <c r="C105" s="46" t="s">
        <v>614</v>
      </c>
      <c r="D105" s="6" t="s">
        <v>1757</v>
      </c>
      <c r="E105" s="24" t="n">
        <v>4</v>
      </c>
      <c r="F105" s="24" t="n">
        <v>4</v>
      </c>
      <c r="G105" s="6" t="s">
        <v>2535</v>
      </c>
    </row>
    <row r="106" customFormat="false" ht="14.25" hidden="false" customHeight="true" outlineLevel="0" collapsed="false">
      <c r="A106" s="46" t="s">
        <v>1760</v>
      </c>
      <c r="B106" s="46" t="s">
        <v>1761</v>
      </c>
      <c r="C106" s="46" t="s">
        <v>644</v>
      </c>
      <c r="D106" s="6" t="s">
        <v>1769</v>
      </c>
      <c r="E106" s="24" t="n">
        <v>5</v>
      </c>
      <c r="F106" s="24" t="n">
        <v>4</v>
      </c>
      <c r="G106" s="6" t="s">
        <v>2535</v>
      </c>
    </row>
    <row r="107" customFormat="false" ht="26.25" hidden="false" customHeight="true" outlineLevel="0" collapsed="false">
      <c r="A107" s="46" t="s">
        <v>1774</v>
      </c>
      <c r="B107" s="46" t="s">
        <v>1775</v>
      </c>
      <c r="C107" s="46" t="s">
        <v>753</v>
      </c>
      <c r="D107" s="6" t="s">
        <v>2556</v>
      </c>
      <c r="E107" s="24" t="n">
        <v>4</v>
      </c>
      <c r="F107" s="24" t="n">
        <v>4</v>
      </c>
      <c r="G107" s="6" t="s">
        <v>2535</v>
      </c>
    </row>
    <row r="108" customFormat="false" ht="14.25" hidden="false" customHeight="true" outlineLevel="0" collapsed="false">
      <c r="A108" s="46" t="s">
        <v>1785</v>
      </c>
      <c r="B108" s="46" t="s">
        <v>1786</v>
      </c>
      <c r="C108" s="46" t="s">
        <v>805</v>
      </c>
      <c r="D108" s="6" t="s">
        <v>1793</v>
      </c>
      <c r="E108" s="24" t="n">
        <v>3</v>
      </c>
      <c r="F108" s="24" t="n">
        <v>3</v>
      </c>
      <c r="G108" s="6" t="s">
        <v>2535</v>
      </c>
    </row>
    <row r="109" customFormat="false" ht="14.25" hidden="false" customHeight="true" outlineLevel="0" collapsed="false">
      <c r="A109" s="46" t="s">
        <v>1795</v>
      </c>
      <c r="B109" s="46" t="s">
        <v>1796</v>
      </c>
      <c r="C109" s="46" t="s">
        <v>961</v>
      </c>
      <c r="D109" s="6" t="s">
        <v>1804</v>
      </c>
      <c r="E109" s="24" t="n">
        <v>4</v>
      </c>
      <c r="F109" s="24" t="n">
        <v>2</v>
      </c>
      <c r="G109" s="6" t="s">
        <v>2535</v>
      </c>
    </row>
    <row r="110" customFormat="false" ht="26.25" hidden="false" customHeight="true" outlineLevel="0" collapsed="false">
      <c r="A110" s="46" t="s">
        <v>1808</v>
      </c>
      <c r="B110" s="46" t="s">
        <v>1809</v>
      </c>
      <c r="C110" s="46" t="s">
        <v>1169</v>
      </c>
      <c r="D110" s="6" t="s">
        <v>1816</v>
      </c>
      <c r="E110" s="24" t="n">
        <v>4</v>
      </c>
      <c r="F110" s="24" t="n">
        <v>1</v>
      </c>
      <c r="G110" s="6" t="s">
        <v>2557</v>
      </c>
    </row>
    <row r="111" customFormat="false" ht="14.25" hidden="false" customHeight="true" outlineLevel="0" collapsed="false">
      <c r="A111" s="46" t="s">
        <v>1819</v>
      </c>
      <c r="B111" s="46" t="s">
        <v>1820</v>
      </c>
      <c r="C111" s="46" t="s">
        <v>1090</v>
      </c>
      <c r="D111" s="6" t="s">
        <v>1828</v>
      </c>
      <c r="E111" s="24" t="n">
        <v>4</v>
      </c>
      <c r="F111" s="24" t="n">
        <v>3</v>
      </c>
      <c r="G111" s="6" t="s">
        <v>2535</v>
      </c>
    </row>
    <row r="112" customFormat="false" ht="14.25" hidden="false" customHeight="true" outlineLevel="0" collapsed="false">
      <c r="A112" s="46" t="s">
        <v>1831</v>
      </c>
      <c r="B112" s="46" t="s">
        <v>1832</v>
      </c>
      <c r="C112" s="46" t="s">
        <v>1420</v>
      </c>
      <c r="D112" s="6" t="s">
        <v>1841</v>
      </c>
      <c r="E112" s="24" t="n">
        <v>4</v>
      </c>
      <c r="F112" s="24" t="n">
        <v>2</v>
      </c>
      <c r="G112" s="6" t="s">
        <v>2535</v>
      </c>
    </row>
    <row r="113" customFormat="false" ht="26.25" hidden="false" customHeight="true" outlineLevel="0" collapsed="false">
      <c r="A113" s="46" t="s">
        <v>1844</v>
      </c>
      <c r="B113" s="46" t="s">
        <v>1845</v>
      </c>
      <c r="C113" s="46" t="s">
        <v>1672</v>
      </c>
      <c r="D113" s="6" t="s">
        <v>1853</v>
      </c>
      <c r="E113" s="24" t="n">
        <v>4</v>
      </c>
      <c r="F113" s="24" t="n">
        <v>1</v>
      </c>
      <c r="G113" s="6" t="s">
        <v>2558</v>
      </c>
    </row>
    <row r="114" customFormat="false" ht="26.25" hidden="false" customHeight="true" outlineLevel="0" collapsed="false">
      <c r="A114" s="46" t="s">
        <v>1856</v>
      </c>
      <c r="B114" s="46" t="s">
        <v>1857</v>
      </c>
      <c r="C114" s="46" t="s">
        <v>1587</v>
      </c>
      <c r="D114" s="6" t="s">
        <v>2559</v>
      </c>
      <c r="E114" s="24" t="n">
        <v>4</v>
      </c>
      <c r="F114" s="24" t="n">
        <v>1</v>
      </c>
      <c r="G114" s="6" t="s">
        <v>2560</v>
      </c>
    </row>
  </sheetData>
  <autoFilter ref="A4:G114"/>
  <mergeCells count="1">
    <mergeCell ref="K14:P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1" width="26"/>
    <col collapsed="false" customWidth="true" hidden="false" outlineLevel="0" max="2" min="2" style="1" width="110"/>
  </cols>
  <sheetData>
    <row r="1" customFormat="false" ht="18" hidden="false" customHeight="true" outlineLevel="0" collapsed="false">
      <c r="A1" s="15" t="s">
        <v>2561</v>
      </c>
    </row>
    <row r="3" customFormat="false" ht="31.5" hidden="false" customHeight="true" outlineLevel="0" collapsed="false">
      <c r="A3" s="51" t="s">
        <v>2562</v>
      </c>
      <c r="B3" s="58" t="s">
        <v>2563</v>
      </c>
    </row>
    <row r="4" customFormat="false" ht="31.5" hidden="false" customHeight="true" outlineLevel="0" collapsed="false">
      <c r="A4" s="48" t="s">
        <v>374</v>
      </c>
      <c r="B4" s="59" t="s">
        <v>2564</v>
      </c>
    </row>
    <row r="5" customFormat="false" ht="31.5" hidden="false" customHeight="true" outlineLevel="0" collapsed="false">
      <c r="A5" s="48" t="s">
        <v>376</v>
      </c>
      <c r="B5" s="59" t="s">
        <v>2565</v>
      </c>
    </row>
    <row r="6" customFormat="false" ht="31.5" hidden="false" customHeight="true" outlineLevel="0" collapsed="false">
      <c r="A6" s="48" t="s">
        <v>378</v>
      </c>
      <c r="B6" s="59" t="s">
        <v>2566</v>
      </c>
    </row>
    <row r="7" customFormat="false" ht="31.5" hidden="false" customHeight="true" outlineLevel="0" collapsed="false">
      <c r="A7" s="48" t="s">
        <v>380</v>
      </c>
      <c r="B7" s="59" t="s">
        <v>2567</v>
      </c>
    </row>
    <row r="8" customFormat="false" ht="31.5" hidden="false" customHeight="true" outlineLevel="0" collapsed="false">
      <c r="A8" s="48" t="s">
        <v>381</v>
      </c>
      <c r="B8" s="59" t="s">
        <v>2568</v>
      </c>
    </row>
    <row r="9" customFormat="false" ht="31.5" hidden="false" customHeight="true" outlineLevel="0" collapsed="false">
      <c r="A9" s="48" t="s">
        <v>382</v>
      </c>
      <c r="B9" s="59" t="s">
        <v>2569</v>
      </c>
    </row>
    <row r="10" customFormat="false" ht="31.5" hidden="false" customHeight="true" outlineLevel="0" collapsed="false">
      <c r="A10" s="48" t="s">
        <v>383</v>
      </c>
      <c r="B10" s="59" t="s">
        <v>2570</v>
      </c>
    </row>
    <row r="11" customFormat="false" ht="31.5" hidden="false" customHeight="true" outlineLevel="0" collapsed="false">
      <c r="A11" s="48" t="s">
        <v>384</v>
      </c>
      <c r="B11" s="59" t="s">
        <v>2571</v>
      </c>
    </row>
    <row r="12" customFormat="false" ht="31.5" hidden="false" customHeight="true" outlineLevel="0" collapsed="false">
      <c r="A12" s="48" t="s">
        <v>386</v>
      </c>
      <c r="B12" s="59" t="s">
        <v>2572</v>
      </c>
    </row>
    <row r="13" customFormat="false" ht="31.5" hidden="false" customHeight="true" outlineLevel="0" collapsed="false">
      <c r="A13" s="48" t="s">
        <v>387</v>
      </c>
      <c r="B13" s="59" t="s">
        <v>2573</v>
      </c>
    </row>
    <row r="14" customFormat="false" ht="14.25" hidden="false" customHeight="true" outlineLevel="0" collapsed="false">
      <c r="A14" s="55" t="s">
        <v>388</v>
      </c>
      <c r="B14" s="23" t="s">
        <v>2574</v>
      </c>
    </row>
    <row r="15" customFormat="false" ht="14.25" hidden="false" customHeight="true" outlineLevel="0" collapsed="false">
      <c r="A15" s="55" t="s">
        <v>2575</v>
      </c>
      <c r="B15" s="23" t="s">
        <v>2576</v>
      </c>
    </row>
    <row r="16" customFormat="false" ht="14.25" hidden="false" customHeight="true" outlineLevel="0" collapsed="false">
      <c r="A16" s="55" t="s">
        <v>392</v>
      </c>
      <c r="B16" s="23" t="s">
        <v>2577</v>
      </c>
    </row>
    <row r="17" customFormat="false" ht="26.25" hidden="false" customHeight="true" outlineLevel="0" collapsed="false">
      <c r="A17" s="55" t="s">
        <v>393</v>
      </c>
      <c r="B17" s="23" t="s">
        <v>2578</v>
      </c>
    </row>
    <row r="18" customFormat="false" ht="14.25" hidden="false" customHeight="true" outlineLevel="0" collapsed="false">
      <c r="A18" s="55" t="s">
        <v>394</v>
      </c>
      <c r="B18" s="23" t="s">
        <v>2579</v>
      </c>
    </row>
    <row r="19" customFormat="false" ht="26.25" hidden="false" customHeight="true" outlineLevel="0" collapsed="false">
      <c r="A19" s="55" t="s">
        <v>395</v>
      </c>
      <c r="B19" s="23" t="s">
        <v>2580</v>
      </c>
    </row>
    <row r="20" customFormat="false" ht="14.25" hidden="false" customHeight="true" outlineLevel="0" collapsed="false">
      <c r="A20" s="55" t="s">
        <v>396</v>
      </c>
      <c r="B20" s="23" t="s">
        <v>2581</v>
      </c>
    </row>
    <row r="21" customFormat="false" ht="26.25" hidden="false" customHeight="true" outlineLevel="0" collapsed="false">
      <c r="A21" s="55" t="s">
        <v>2582</v>
      </c>
      <c r="B21" s="23" t="s">
        <v>2583</v>
      </c>
    </row>
    <row r="22" customFormat="false" ht="14.25" hidden="false" customHeight="true" outlineLevel="0" collapsed="false">
      <c r="A22" s="55" t="s">
        <v>2584</v>
      </c>
      <c r="B22" s="23" t="s">
        <v>2585</v>
      </c>
    </row>
    <row r="23" customFormat="false" ht="26.25" hidden="false" customHeight="true" outlineLevel="0" collapsed="false">
      <c r="A23" s="55" t="s">
        <v>2586</v>
      </c>
      <c r="B23" s="23" t="s">
        <v>2587</v>
      </c>
    </row>
    <row r="24" customFormat="false" ht="26.25" hidden="false" customHeight="true" outlineLevel="0" collapsed="false">
      <c r="A24" s="55" t="s">
        <v>2588</v>
      </c>
      <c r="B24" s="23" t="s">
        <v>2589</v>
      </c>
    </row>
    <row r="25" customFormat="false" ht="26.25" hidden="false" customHeight="true" outlineLevel="0" collapsed="false">
      <c r="A25" s="55" t="s">
        <v>2590</v>
      </c>
      <c r="B25" s="23" t="s">
        <v>2591</v>
      </c>
    </row>
    <row r="26" customFormat="false" ht="14.25" hidden="false" customHeight="true" outlineLevel="0" collapsed="false">
      <c r="A26" s="55" t="s">
        <v>70</v>
      </c>
      <c r="B26" s="23" t="s">
        <v>2592</v>
      </c>
    </row>
    <row r="27" customFormat="false" ht="14.25" hidden="false" customHeight="true" outlineLevel="0" collapsed="false">
      <c r="A27" s="55" t="s">
        <v>280</v>
      </c>
      <c r="B27" s="23" t="s">
        <v>2593</v>
      </c>
    </row>
    <row r="28" customFormat="false" ht="14.25" hidden="false" customHeight="true" outlineLevel="0" collapsed="false">
      <c r="A28" s="55" t="s">
        <v>268</v>
      </c>
      <c r="B28" s="23" t="s">
        <v>2594</v>
      </c>
    </row>
    <row r="29" customFormat="false" ht="26.25" hidden="false" customHeight="true" outlineLevel="0" collapsed="false">
      <c r="A29" s="55" t="s">
        <v>2595</v>
      </c>
      <c r="B29" s="23" t="s">
        <v>2596</v>
      </c>
    </row>
    <row r="30" customFormat="false" ht="26.25" hidden="false" customHeight="true" outlineLevel="0" collapsed="false">
      <c r="A30" s="55" t="s">
        <v>2597</v>
      </c>
      <c r="B30" s="23" t="s">
        <v>2598</v>
      </c>
    </row>
    <row r="31" customFormat="false" ht="26.25" hidden="false" customHeight="true" outlineLevel="0" collapsed="false">
      <c r="A31" s="55" t="s">
        <v>2599</v>
      </c>
      <c r="B31" s="23" t="s">
        <v>2600</v>
      </c>
    </row>
    <row r="32" customFormat="false" ht="26.25" hidden="false" customHeight="true" outlineLevel="0" collapsed="false">
      <c r="A32" s="55" t="s">
        <v>2601</v>
      </c>
      <c r="B32" s="23" t="s">
        <v>2602</v>
      </c>
    </row>
    <row r="33" customFormat="false" ht="39" hidden="false" customHeight="true" outlineLevel="0" collapsed="false">
      <c r="A33" s="55" t="s">
        <v>2603</v>
      </c>
      <c r="B33" s="23" t="s">
        <v>2604</v>
      </c>
    </row>
    <row r="34" customFormat="false" ht="26.25" hidden="false" customHeight="true" outlineLevel="0" collapsed="false">
      <c r="A34" s="55" t="s">
        <v>2605</v>
      </c>
      <c r="B34" s="23" t="s">
        <v>2606</v>
      </c>
    </row>
    <row r="35" customFormat="false" ht="26.25" hidden="false" customHeight="true" outlineLevel="0" collapsed="false">
      <c r="A35" s="55" t="s">
        <v>2607</v>
      </c>
      <c r="B35" s="23" t="s">
        <v>2608</v>
      </c>
    </row>
    <row r="36" customFormat="false" ht="26.25" hidden="false" customHeight="true" outlineLevel="0" collapsed="false">
      <c r="A36" s="55" t="s">
        <v>2609</v>
      </c>
      <c r="B36" s="23" t="s">
        <v>2610</v>
      </c>
    </row>
    <row r="37" customFormat="false" ht="26.25" hidden="false" customHeight="true" outlineLevel="0" collapsed="false">
      <c r="A37" s="55" t="s">
        <v>2611</v>
      </c>
      <c r="B37" s="23" t="s">
        <v>2612</v>
      </c>
    </row>
    <row r="38" customFormat="false" ht="26.25" hidden="false" customHeight="true" outlineLevel="0" collapsed="false">
      <c r="A38" s="55" t="s">
        <v>2613</v>
      </c>
      <c r="B38" s="23" t="s">
        <v>2614</v>
      </c>
    </row>
    <row r="39" customFormat="false" ht="26.25" hidden="false" customHeight="true" outlineLevel="0" collapsed="false">
      <c r="A39" s="55" t="s">
        <v>2615</v>
      </c>
      <c r="B39" s="23" t="s">
        <v>2616</v>
      </c>
    </row>
    <row r="40" customFormat="false" ht="26.25" hidden="false" customHeight="true" outlineLevel="0" collapsed="false">
      <c r="A40" s="55" t="s">
        <v>2617</v>
      </c>
      <c r="B40" s="23" t="s">
        <v>2618</v>
      </c>
    </row>
    <row r="41" customFormat="false" ht="26.25" hidden="false" customHeight="true" outlineLevel="0" collapsed="false">
      <c r="A41" s="55" t="s">
        <v>2619</v>
      </c>
      <c r="B41" s="23" t="s">
        <v>2620</v>
      </c>
    </row>
    <row r="42" customFormat="false" ht="26.25" hidden="false" customHeight="true" outlineLevel="0" collapsed="false">
      <c r="A42" s="55" t="s">
        <v>2621</v>
      </c>
      <c r="B42" s="23" t="s">
        <v>2622</v>
      </c>
    </row>
    <row r="43" customFormat="false" ht="39" hidden="false" customHeight="true" outlineLevel="0" collapsed="false">
      <c r="A43" s="55" t="s">
        <v>2623</v>
      </c>
      <c r="B43" s="23" t="s">
        <v>2624</v>
      </c>
    </row>
    <row r="44" customFormat="false" ht="26.25" hidden="false" customHeight="true" outlineLevel="0" collapsed="false">
      <c r="A44" s="55" t="s">
        <v>2625</v>
      </c>
      <c r="B44" s="23" t="s">
        <v>2626</v>
      </c>
    </row>
    <row r="45" customFormat="false" ht="26.25" hidden="false" customHeight="true" outlineLevel="0" collapsed="false">
      <c r="A45" s="55" t="s">
        <v>2627</v>
      </c>
      <c r="B45" s="23" t="s">
        <v>2628</v>
      </c>
    </row>
    <row r="46" customFormat="false" ht="14.25" hidden="false" customHeight="true" outlineLevel="0" collapsed="false">
      <c r="A46" s="55" t="s">
        <v>2629</v>
      </c>
      <c r="B46" s="23" t="s">
        <v>2630</v>
      </c>
    </row>
    <row r="47" customFormat="false" ht="39" hidden="false" customHeight="true" outlineLevel="0" collapsed="false">
      <c r="A47" s="55" t="s">
        <v>2631</v>
      </c>
      <c r="B47" s="23" t="s">
        <v>2632</v>
      </c>
    </row>
    <row r="48" customFormat="false" ht="26.25" hidden="false" customHeight="true" outlineLevel="0" collapsed="false">
      <c r="A48" s="55" t="s">
        <v>2633</v>
      </c>
      <c r="B48" s="23" t="s">
        <v>2634</v>
      </c>
    </row>
    <row r="49" customFormat="false" ht="26.25" hidden="false" customHeight="true" outlineLevel="0" collapsed="false">
      <c r="A49" s="55" t="s">
        <v>2635</v>
      </c>
      <c r="B49" s="23" t="s">
        <v>2636</v>
      </c>
    </row>
    <row r="50" customFormat="false" ht="39" hidden="false" customHeight="true" outlineLevel="0" collapsed="false">
      <c r="A50" s="55" t="s">
        <v>2637</v>
      </c>
      <c r="B50" s="23" t="s">
        <v>2638</v>
      </c>
    </row>
    <row r="51" customFormat="false" ht="26.25" hidden="false" customHeight="true" outlineLevel="0" collapsed="false">
      <c r="A51" s="55" t="s">
        <v>2639</v>
      </c>
      <c r="B51" s="23" t="s">
        <v>2640</v>
      </c>
    </row>
    <row r="52" customFormat="false" ht="26.25" hidden="false" customHeight="true" outlineLevel="0" collapsed="false">
      <c r="A52" s="55" t="s">
        <v>2641</v>
      </c>
      <c r="B52" s="23" t="s">
        <v>2642</v>
      </c>
    </row>
    <row r="53" customFormat="false" ht="26.25" hidden="false" customHeight="true" outlineLevel="0" collapsed="false">
      <c r="A53" s="55" t="s">
        <v>2643</v>
      </c>
      <c r="B53" s="23" t="s">
        <v>2644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17"/>
    <col collapsed="false" customWidth="true" hidden="false" outlineLevel="0" max="7" min="4" style="1" width="9"/>
    <col collapsed="false" customWidth="true" hidden="false" outlineLevel="0" max="9" min="8" style="1" width="10"/>
    <col collapsed="false" customWidth="true" hidden="false" outlineLevel="0" max="11" min="10" style="1" width="8"/>
    <col collapsed="false" customWidth="true" hidden="false" outlineLevel="0" max="15" min="12" style="1" width="10"/>
    <col collapsed="false" customWidth="true" hidden="false" outlineLevel="0" max="17" min="16" style="1" width="9"/>
    <col collapsed="false" customWidth="true" hidden="false" outlineLevel="0" max="19" min="18" style="1" width="58"/>
  </cols>
  <sheetData>
    <row r="1" customFormat="false" ht="17.25" hidden="false" customHeight="true" outlineLevel="0" collapsed="false">
      <c r="A1" s="45" t="s">
        <v>2645</v>
      </c>
    </row>
    <row r="2" customFormat="false" ht="15" hidden="false" customHeight="true" outlineLevel="0" collapsed="false">
      <c r="A2" s="16" t="s">
        <v>2646</v>
      </c>
    </row>
    <row r="4" customFormat="false" ht="39" hidden="false" customHeight="true" outlineLevel="0" collapsed="false">
      <c r="A4" s="4" t="s">
        <v>1909</v>
      </c>
      <c r="B4" s="4" t="s">
        <v>2647</v>
      </c>
      <c r="C4" s="4" t="s">
        <v>2648</v>
      </c>
      <c r="D4" s="4" t="s">
        <v>2649</v>
      </c>
      <c r="E4" s="4" t="s">
        <v>2650</v>
      </c>
      <c r="F4" s="4" t="s">
        <v>2651</v>
      </c>
      <c r="G4" s="4" t="s">
        <v>2652</v>
      </c>
      <c r="H4" s="4" t="s">
        <v>2653</v>
      </c>
      <c r="I4" s="4" t="s">
        <v>2654</v>
      </c>
      <c r="J4" s="4" t="s">
        <v>2655</v>
      </c>
      <c r="K4" s="4" t="s">
        <v>2656</v>
      </c>
      <c r="L4" s="4" t="s">
        <v>2657</v>
      </c>
      <c r="M4" s="4" t="s">
        <v>2658</v>
      </c>
      <c r="N4" s="4" t="s">
        <v>2659</v>
      </c>
      <c r="O4" s="4" t="s">
        <v>2660</v>
      </c>
      <c r="P4" s="4" t="s">
        <v>2661</v>
      </c>
      <c r="Q4" s="4" t="s">
        <v>2662</v>
      </c>
      <c r="R4" s="4" t="s">
        <v>2663</v>
      </c>
      <c r="S4" s="4" t="s">
        <v>2664</v>
      </c>
    </row>
    <row r="5" customFormat="false" ht="39" hidden="false" customHeight="true" outlineLevel="0" collapsed="false">
      <c r="A5" s="46" t="s">
        <v>2665</v>
      </c>
      <c r="B5" s="46" t="s">
        <v>421</v>
      </c>
      <c r="C5" s="46" t="s">
        <v>420</v>
      </c>
      <c r="D5" s="24" t="n">
        <v>3</v>
      </c>
      <c r="E5" s="24" t="n">
        <v>5</v>
      </c>
      <c r="F5" s="24" t="n">
        <v>4</v>
      </c>
      <c r="G5" s="24" t="n">
        <v>6</v>
      </c>
      <c r="H5" s="24"/>
      <c r="I5" s="24"/>
      <c r="J5" s="24" t="n">
        <v>1</v>
      </c>
      <c r="K5" s="24" t="n">
        <v>3</v>
      </c>
      <c r="L5" s="24" t="n">
        <v>180</v>
      </c>
      <c r="M5" s="24" t="n">
        <v>300</v>
      </c>
      <c r="N5" s="24" t="n">
        <v>75</v>
      </c>
      <c r="O5" s="24" t="n">
        <v>88</v>
      </c>
      <c r="P5" s="24"/>
      <c r="Q5" s="24"/>
      <c r="R5" s="6" t="s">
        <v>2666</v>
      </c>
      <c r="S5" s="6" t="s">
        <v>2667</v>
      </c>
    </row>
    <row r="6" customFormat="false" ht="26.25" hidden="false" customHeight="true" outlineLevel="0" collapsed="false">
      <c r="A6" s="46" t="s">
        <v>2668</v>
      </c>
      <c r="B6" s="46" t="s">
        <v>421</v>
      </c>
      <c r="C6" s="46" t="s">
        <v>469</v>
      </c>
      <c r="D6" s="24" t="n">
        <v>4</v>
      </c>
      <c r="E6" s="24" t="n">
        <v>6</v>
      </c>
      <c r="F6" s="24" t="n">
        <v>4</v>
      </c>
      <c r="G6" s="24" t="n">
        <v>8</v>
      </c>
      <c r="H6" s="24"/>
      <c r="I6" s="24"/>
      <c r="J6" s="24" t="n">
        <v>1</v>
      </c>
      <c r="K6" s="24" t="n">
        <v>2</v>
      </c>
      <c r="L6" s="24" t="n">
        <v>150</v>
      </c>
      <c r="M6" s="24" t="n">
        <v>180</v>
      </c>
      <c r="N6" s="24"/>
      <c r="O6" s="24"/>
      <c r="P6" s="24"/>
      <c r="Q6" s="24"/>
      <c r="R6" s="6" t="s">
        <v>2669</v>
      </c>
      <c r="S6" s="6" t="s">
        <v>2670</v>
      </c>
    </row>
    <row r="7" customFormat="false" ht="26.25" hidden="false" customHeight="true" outlineLevel="0" collapsed="false">
      <c r="A7" s="46" t="s">
        <v>2671</v>
      </c>
      <c r="B7" s="46" t="s">
        <v>421</v>
      </c>
      <c r="C7" s="46" t="s">
        <v>1022</v>
      </c>
      <c r="D7" s="24" t="n">
        <v>3</v>
      </c>
      <c r="E7" s="24" t="n">
        <v>4</v>
      </c>
      <c r="F7" s="24"/>
      <c r="G7" s="24"/>
      <c r="H7" s="24" t="n">
        <v>20</v>
      </c>
      <c r="I7" s="24" t="n">
        <v>40</v>
      </c>
      <c r="J7" s="24" t="n">
        <v>2</v>
      </c>
      <c r="K7" s="24" t="n">
        <v>3</v>
      </c>
      <c r="L7" s="24" t="n">
        <v>120</v>
      </c>
      <c r="M7" s="24" t="n">
        <v>180</v>
      </c>
      <c r="N7" s="24"/>
      <c r="O7" s="24"/>
      <c r="P7" s="24"/>
      <c r="Q7" s="24"/>
      <c r="R7" s="6" t="s">
        <v>2672</v>
      </c>
      <c r="S7" s="6" t="s">
        <v>2673</v>
      </c>
    </row>
    <row r="8" customFormat="false" ht="26.25" hidden="false" customHeight="true" outlineLevel="0" collapsed="false">
      <c r="A8" s="46" t="s">
        <v>2674</v>
      </c>
      <c r="B8" s="46" t="s">
        <v>421</v>
      </c>
      <c r="C8" s="46" t="s">
        <v>1037</v>
      </c>
      <c r="D8" s="24" t="n">
        <v>3</v>
      </c>
      <c r="E8" s="24" t="n">
        <v>5</v>
      </c>
      <c r="F8" s="24" t="n">
        <v>3</v>
      </c>
      <c r="G8" s="24" t="n">
        <v>5</v>
      </c>
      <c r="H8" s="24"/>
      <c r="I8" s="24"/>
      <c r="J8" s="24" t="n">
        <v>3</v>
      </c>
      <c r="K8" s="24" t="n">
        <v>5</v>
      </c>
      <c r="L8" s="24" t="n">
        <v>120</v>
      </c>
      <c r="M8" s="24" t="n">
        <v>180</v>
      </c>
      <c r="N8" s="24"/>
      <c r="O8" s="24"/>
      <c r="P8" s="24"/>
      <c r="Q8" s="24"/>
      <c r="R8" s="6" t="s">
        <v>2675</v>
      </c>
      <c r="S8" s="6" t="s">
        <v>2676</v>
      </c>
    </row>
    <row r="9" customFormat="false" ht="26.25" hidden="false" customHeight="true" outlineLevel="0" collapsed="false">
      <c r="A9" s="46" t="s">
        <v>2677</v>
      </c>
      <c r="B9" s="46" t="s">
        <v>421</v>
      </c>
      <c r="C9" s="46" t="s">
        <v>1643</v>
      </c>
      <c r="D9" s="24" t="n">
        <v>1</v>
      </c>
      <c r="E9" s="24" t="n">
        <v>1</v>
      </c>
      <c r="F9" s="24"/>
      <c r="G9" s="24"/>
      <c r="H9" s="24" t="n">
        <v>480</v>
      </c>
      <c r="I9" s="24" t="n">
        <v>720</v>
      </c>
      <c r="J9" s="24" t="n">
        <v>4</v>
      </c>
      <c r="K9" s="24" t="n">
        <v>6</v>
      </c>
      <c r="L9" s="24"/>
      <c r="M9" s="24"/>
      <c r="N9" s="24"/>
      <c r="O9" s="24"/>
      <c r="P9" s="24"/>
      <c r="Q9" s="24"/>
      <c r="R9" s="6" t="s">
        <v>2678</v>
      </c>
      <c r="S9" s="6" t="s">
        <v>2679</v>
      </c>
    </row>
    <row r="10" customFormat="false" ht="26.25" hidden="false" customHeight="true" outlineLevel="0" collapsed="false">
      <c r="A10" s="46" t="s">
        <v>2680</v>
      </c>
      <c r="B10" s="46" t="s">
        <v>440</v>
      </c>
      <c r="C10" s="46" t="s">
        <v>420</v>
      </c>
      <c r="D10" s="24" t="n">
        <v>3</v>
      </c>
      <c r="E10" s="24" t="n">
        <v>4</v>
      </c>
      <c r="F10" s="24" t="n">
        <v>6</v>
      </c>
      <c r="G10" s="24" t="n">
        <v>12</v>
      </c>
      <c r="H10" s="24"/>
      <c r="I10" s="24"/>
      <c r="J10" s="24" t="n">
        <v>1</v>
      </c>
      <c r="K10" s="24" t="n">
        <v>2</v>
      </c>
      <c r="L10" s="24" t="n">
        <v>90</v>
      </c>
      <c r="M10" s="24" t="n">
        <v>180</v>
      </c>
      <c r="N10" s="24" t="n">
        <v>65</v>
      </c>
      <c r="O10" s="24" t="n">
        <v>80</v>
      </c>
      <c r="P10" s="24"/>
      <c r="Q10" s="24"/>
      <c r="R10" s="6" t="s">
        <v>2681</v>
      </c>
      <c r="S10" s="6" t="s">
        <v>2682</v>
      </c>
    </row>
    <row r="11" customFormat="false" ht="26.25" hidden="false" customHeight="true" outlineLevel="0" collapsed="false">
      <c r="A11" s="46" t="s">
        <v>2683</v>
      </c>
      <c r="B11" s="46" t="s">
        <v>440</v>
      </c>
      <c r="C11" s="46" t="s">
        <v>469</v>
      </c>
      <c r="D11" s="24" t="n">
        <v>3</v>
      </c>
      <c r="E11" s="24" t="n">
        <v>4</v>
      </c>
      <c r="F11" s="24" t="n">
        <v>8</v>
      </c>
      <c r="G11" s="24" t="n">
        <v>20</v>
      </c>
      <c r="H11" s="24"/>
      <c r="I11" s="24"/>
      <c r="J11" s="24" t="n">
        <v>1</v>
      </c>
      <c r="K11" s="24" t="n">
        <v>2</v>
      </c>
      <c r="L11" s="24" t="n">
        <v>75</v>
      </c>
      <c r="M11" s="24" t="n">
        <v>105</v>
      </c>
      <c r="N11" s="24"/>
      <c r="O11" s="24"/>
      <c r="P11" s="24"/>
      <c r="Q11" s="24"/>
      <c r="R11" s="6" t="s">
        <v>2684</v>
      </c>
      <c r="S11" s="6" t="s">
        <v>2685</v>
      </c>
    </row>
    <row r="12" customFormat="false" ht="26.25" hidden="false" customHeight="true" outlineLevel="0" collapsed="false">
      <c r="A12" s="46" t="s">
        <v>2686</v>
      </c>
      <c r="B12" s="46" t="s">
        <v>440</v>
      </c>
      <c r="C12" s="46" t="s">
        <v>1022</v>
      </c>
      <c r="D12" s="24" t="n">
        <v>3</v>
      </c>
      <c r="E12" s="24" t="n">
        <v>3</v>
      </c>
      <c r="F12" s="24"/>
      <c r="G12" s="24"/>
      <c r="H12" s="24" t="n">
        <v>30</v>
      </c>
      <c r="I12" s="24" t="n">
        <v>60</v>
      </c>
      <c r="J12" s="24" t="n">
        <v>1</v>
      </c>
      <c r="K12" s="24" t="n">
        <v>2</v>
      </c>
      <c r="L12" s="24" t="n">
        <v>60</v>
      </c>
      <c r="M12" s="24" t="n">
        <v>90</v>
      </c>
      <c r="N12" s="24"/>
      <c r="O12" s="24"/>
      <c r="P12" s="24"/>
      <c r="Q12" s="24"/>
      <c r="R12" s="6" t="s">
        <v>2687</v>
      </c>
      <c r="S12" s="6" t="s">
        <v>2688</v>
      </c>
    </row>
    <row r="13" customFormat="false" ht="26.25" hidden="false" customHeight="true" outlineLevel="0" collapsed="false">
      <c r="A13" s="46" t="s">
        <v>2689</v>
      </c>
      <c r="B13" s="46" t="s">
        <v>440</v>
      </c>
      <c r="C13" s="46" t="s">
        <v>1037</v>
      </c>
      <c r="D13" s="24" t="n">
        <v>2</v>
      </c>
      <c r="E13" s="24" t="n">
        <v>3</v>
      </c>
      <c r="F13" s="24" t="n">
        <v>3</v>
      </c>
      <c r="G13" s="24" t="n">
        <v>5</v>
      </c>
      <c r="H13" s="24"/>
      <c r="I13" s="24"/>
      <c r="J13" s="24" t="n">
        <v>3</v>
      </c>
      <c r="K13" s="24" t="n">
        <v>5</v>
      </c>
      <c r="L13" s="24" t="n">
        <v>120</v>
      </c>
      <c r="M13" s="24" t="n">
        <v>120</v>
      </c>
      <c r="N13" s="24"/>
      <c r="O13" s="24"/>
      <c r="P13" s="24"/>
      <c r="Q13" s="24"/>
      <c r="R13" s="6" t="s">
        <v>2690</v>
      </c>
      <c r="S13" s="6" t="s">
        <v>2691</v>
      </c>
    </row>
    <row r="14" customFormat="false" ht="26.25" hidden="false" customHeight="true" outlineLevel="0" collapsed="false">
      <c r="A14" s="46" t="s">
        <v>2692</v>
      </c>
      <c r="B14" s="46" t="s">
        <v>440</v>
      </c>
      <c r="C14" s="46" t="s">
        <v>1643</v>
      </c>
      <c r="D14" s="24" t="n">
        <v>1</v>
      </c>
      <c r="E14" s="24" t="n">
        <v>1</v>
      </c>
      <c r="F14" s="24"/>
      <c r="G14" s="24"/>
      <c r="H14" s="24" t="n">
        <v>600</v>
      </c>
      <c r="I14" s="24" t="n">
        <v>900</v>
      </c>
      <c r="J14" s="24" t="n">
        <v>4</v>
      </c>
      <c r="K14" s="24" t="n">
        <v>6</v>
      </c>
      <c r="L14" s="24"/>
      <c r="M14" s="24"/>
      <c r="N14" s="24"/>
      <c r="O14" s="24"/>
      <c r="P14" s="24"/>
      <c r="Q14" s="24"/>
      <c r="R14" s="6" t="s">
        <v>2693</v>
      </c>
      <c r="S14" s="6" t="s">
        <v>2694</v>
      </c>
    </row>
    <row r="15" customFormat="false" ht="26.25" hidden="false" customHeight="true" outlineLevel="0" collapsed="false">
      <c r="A15" s="46" t="s">
        <v>2695</v>
      </c>
      <c r="B15" s="46" t="s">
        <v>924</v>
      </c>
      <c r="C15" s="46" t="s">
        <v>420</v>
      </c>
      <c r="D15" s="24" t="n">
        <v>2</v>
      </c>
      <c r="E15" s="24" t="n">
        <v>3</v>
      </c>
      <c r="F15" s="24" t="n">
        <v>8</v>
      </c>
      <c r="G15" s="24" t="n">
        <v>15</v>
      </c>
      <c r="H15" s="24"/>
      <c r="I15" s="24"/>
      <c r="J15" s="24" t="n">
        <v>1</v>
      </c>
      <c r="K15" s="24" t="n">
        <v>3</v>
      </c>
      <c r="L15" s="24" t="n">
        <v>45</v>
      </c>
      <c r="M15" s="24" t="n">
        <v>75</v>
      </c>
      <c r="N15" s="24" t="n">
        <v>60</v>
      </c>
      <c r="O15" s="24" t="n">
        <v>75</v>
      </c>
      <c r="P15" s="24"/>
      <c r="Q15" s="24"/>
      <c r="R15" s="6" t="s">
        <v>2696</v>
      </c>
      <c r="S15" s="6" t="s">
        <v>2697</v>
      </c>
    </row>
    <row r="16" customFormat="false" ht="15" hidden="false" customHeight="true" outlineLevel="0" collapsed="false">
      <c r="A16" s="46" t="s">
        <v>2698</v>
      </c>
      <c r="B16" s="46" t="s">
        <v>924</v>
      </c>
      <c r="C16" s="46" t="s">
        <v>469</v>
      </c>
      <c r="D16" s="24" t="n">
        <v>2</v>
      </c>
      <c r="E16" s="24" t="n">
        <v>3</v>
      </c>
      <c r="F16" s="24" t="n">
        <v>12</v>
      </c>
      <c r="G16" s="24" t="n">
        <v>20</v>
      </c>
      <c r="H16" s="24"/>
      <c r="I16" s="24"/>
      <c r="J16" s="24" t="n">
        <v>1</v>
      </c>
      <c r="K16" s="24" t="n">
        <v>3</v>
      </c>
      <c r="L16" s="24" t="n">
        <v>45</v>
      </c>
      <c r="M16" s="24" t="n">
        <v>60</v>
      </c>
      <c r="N16" s="24"/>
      <c r="O16" s="24"/>
      <c r="P16" s="24"/>
      <c r="Q16" s="24"/>
      <c r="R16" s="6" t="s">
        <v>2699</v>
      </c>
      <c r="S16" s="6" t="s">
        <v>2700</v>
      </c>
    </row>
    <row r="17" customFormat="false" ht="15" hidden="false" customHeight="true" outlineLevel="0" collapsed="false">
      <c r="A17" s="46" t="s">
        <v>2701</v>
      </c>
      <c r="B17" s="46" t="s">
        <v>924</v>
      </c>
      <c r="C17" s="46" t="s">
        <v>1022</v>
      </c>
      <c r="D17" s="24" t="n">
        <v>2</v>
      </c>
      <c r="E17" s="24" t="n">
        <v>3</v>
      </c>
      <c r="F17" s="24"/>
      <c r="G17" s="24"/>
      <c r="H17" s="24" t="n">
        <v>30</v>
      </c>
      <c r="I17" s="24" t="n">
        <v>45</v>
      </c>
      <c r="J17" s="24" t="n">
        <v>1</v>
      </c>
      <c r="K17" s="24" t="n">
        <v>3</v>
      </c>
      <c r="L17" s="24" t="n">
        <v>30</v>
      </c>
      <c r="M17" s="24" t="n">
        <v>45</v>
      </c>
      <c r="N17" s="24"/>
      <c r="O17" s="24"/>
      <c r="P17" s="24"/>
      <c r="Q17" s="24"/>
      <c r="R17" s="6" t="s">
        <v>2702</v>
      </c>
      <c r="S17" s="6" t="s">
        <v>2703</v>
      </c>
    </row>
    <row r="18" customFormat="false" ht="26.25" hidden="false" customHeight="true" outlineLevel="0" collapsed="false">
      <c r="A18" s="46" t="s">
        <v>2704</v>
      </c>
      <c r="B18" s="46" t="s">
        <v>924</v>
      </c>
      <c r="C18" s="46" t="s">
        <v>1037</v>
      </c>
      <c r="D18" s="24" t="n">
        <v>4</v>
      </c>
      <c r="E18" s="24" t="n">
        <v>6</v>
      </c>
      <c r="F18" s="24"/>
      <c r="G18" s="24"/>
      <c r="H18" s="24" t="n">
        <v>15</v>
      </c>
      <c r="I18" s="24" t="n">
        <v>20</v>
      </c>
      <c r="J18" s="24" t="n">
        <v>3</v>
      </c>
      <c r="K18" s="24" t="n">
        <v>5</v>
      </c>
      <c r="L18" s="24" t="n">
        <v>40</v>
      </c>
      <c r="M18" s="24" t="n">
        <v>60</v>
      </c>
      <c r="N18" s="24"/>
      <c r="O18" s="24"/>
      <c r="P18" s="24"/>
      <c r="Q18" s="24"/>
      <c r="R18" s="6" t="s">
        <v>2705</v>
      </c>
      <c r="S18" s="6" t="s">
        <v>2706</v>
      </c>
    </row>
    <row r="19" customFormat="false" ht="15" hidden="false" customHeight="true" outlineLevel="0" collapsed="false">
      <c r="A19" s="46" t="s">
        <v>2707</v>
      </c>
      <c r="B19" s="46" t="s">
        <v>924</v>
      </c>
      <c r="C19" s="46" t="s">
        <v>1643</v>
      </c>
      <c r="D19" s="24"/>
      <c r="E19" s="24"/>
      <c r="F19" s="24"/>
      <c r="G19" s="24"/>
      <c r="H19" s="24" t="n">
        <v>20</v>
      </c>
      <c r="I19" s="24" t="n">
        <v>40</v>
      </c>
      <c r="J19" s="24"/>
      <c r="K19" s="24"/>
      <c r="L19" s="24" t="n">
        <v>40</v>
      </c>
      <c r="M19" s="24" t="n">
        <v>60</v>
      </c>
      <c r="N19" s="24"/>
      <c r="O19" s="24"/>
      <c r="P19" s="24" t="n">
        <v>6</v>
      </c>
      <c r="Q19" s="24" t="n">
        <v>10</v>
      </c>
      <c r="R19" s="6" t="s">
        <v>2708</v>
      </c>
      <c r="S19" s="6" t="s">
        <v>2709</v>
      </c>
    </row>
    <row r="20" customFormat="false" ht="26.25" hidden="false" customHeight="true" outlineLevel="0" collapsed="false">
      <c r="A20" s="46" t="s">
        <v>2710</v>
      </c>
      <c r="B20" s="46" t="s">
        <v>470</v>
      </c>
      <c r="C20" s="46" t="s">
        <v>420</v>
      </c>
      <c r="D20" s="24" t="n">
        <v>2</v>
      </c>
      <c r="E20" s="24" t="n">
        <v>3</v>
      </c>
      <c r="F20" s="24" t="n">
        <v>8</v>
      </c>
      <c r="G20" s="24" t="n">
        <v>15</v>
      </c>
      <c r="H20" s="24"/>
      <c r="I20" s="24"/>
      <c r="J20" s="24" t="n">
        <v>2</v>
      </c>
      <c r="K20" s="24" t="n">
        <v>3</v>
      </c>
      <c r="L20" s="24" t="n">
        <v>60</v>
      </c>
      <c r="M20" s="24" t="n">
        <v>90</v>
      </c>
      <c r="N20" s="24" t="n">
        <v>55</v>
      </c>
      <c r="O20" s="24" t="n">
        <v>70</v>
      </c>
      <c r="P20" s="24"/>
      <c r="Q20" s="24"/>
      <c r="R20" s="6" t="s">
        <v>2711</v>
      </c>
      <c r="S20" s="6" t="s">
        <v>2712</v>
      </c>
    </row>
    <row r="21" customFormat="false" ht="15" hidden="false" customHeight="true" outlineLevel="0" collapsed="false">
      <c r="A21" s="46" t="s">
        <v>2713</v>
      </c>
      <c r="B21" s="46" t="s">
        <v>470</v>
      </c>
      <c r="C21" s="46" t="s">
        <v>469</v>
      </c>
      <c r="D21" s="24" t="n">
        <v>2</v>
      </c>
      <c r="E21" s="24" t="n">
        <v>3</v>
      </c>
      <c r="F21" s="24" t="n">
        <v>8</v>
      </c>
      <c r="G21" s="24" t="n">
        <v>15</v>
      </c>
      <c r="H21" s="24"/>
      <c r="I21" s="24"/>
      <c r="J21" s="24" t="n">
        <v>2</v>
      </c>
      <c r="K21" s="24" t="n">
        <v>3</v>
      </c>
      <c r="L21" s="24" t="n">
        <v>60</v>
      </c>
      <c r="M21" s="24" t="n">
        <v>60</v>
      </c>
      <c r="N21" s="24"/>
      <c r="O21" s="24"/>
      <c r="P21" s="24"/>
      <c r="Q21" s="24"/>
      <c r="R21" s="6" t="s">
        <v>2714</v>
      </c>
      <c r="S21" s="6" t="s">
        <v>2715</v>
      </c>
    </row>
    <row r="22" customFormat="false" ht="15" hidden="false" customHeight="true" outlineLevel="0" collapsed="false">
      <c r="A22" s="46" t="s">
        <v>2716</v>
      </c>
      <c r="B22" s="46" t="s">
        <v>470</v>
      </c>
      <c r="C22" s="46" t="s">
        <v>1022</v>
      </c>
      <c r="D22" s="24" t="n">
        <v>2</v>
      </c>
      <c r="E22" s="24" t="n">
        <v>3</v>
      </c>
      <c r="F22" s="24"/>
      <c r="G22" s="24"/>
      <c r="H22" s="24" t="n">
        <v>20</v>
      </c>
      <c r="I22" s="24" t="n">
        <v>45</v>
      </c>
      <c r="J22" s="24" t="n">
        <v>2</v>
      </c>
      <c r="K22" s="24" t="n">
        <v>3</v>
      </c>
      <c r="L22" s="24" t="n">
        <v>45</v>
      </c>
      <c r="M22" s="24" t="n">
        <v>60</v>
      </c>
      <c r="N22" s="24"/>
      <c r="O22" s="24"/>
      <c r="P22" s="24"/>
      <c r="Q22" s="24"/>
      <c r="R22" s="6" t="s">
        <v>2717</v>
      </c>
      <c r="S22" s="6" t="s">
        <v>2718</v>
      </c>
    </row>
    <row r="23" customFormat="false" ht="26.25" hidden="false" customHeight="true" outlineLevel="0" collapsed="false">
      <c r="A23" s="46" t="s">
        <v>2719</v>
      </c>
      <c r="B23" s="46" t="s">
        <v>470</v>
      </c>
      <c r="C23" s="46" t="s">
        <v>1037</v>
      </c>
      <c r="D23" s="24" t="n">
        <v>2</v>
      </c>
      <c r="E23" s="24" t="n">
        <v>3</v>
      </c>
      <c r="F23" s="24" t="n">
        <v>5</v>
      </c>
      <c r="G23" s="24" t="n">
        <v>8</v>
      </c>
      <c r="H23" s="24"/>
      <c r="I23" s="24"/>
      <c r="J23" s="24" t="n">
        <v>4</v>
      </c>
      <c r="K23" s="24" t="n">
        <v>6</v>
      </c>
      <c r="L23" s="24" t="n">
        <v>90</v>
      </c>
      <c r="M23" s="24" t="n">
        <v>90</v>
      </c>
      <c r="N23" s="24"/>
      <c r="O23" s="24"/>
      <c r="P23" s="24"/>
      <c r="Q23" s="24"/>
      <c r="R23" s="6" t="s">
        <v>2720</v>
      </c>
      <c r="S23" s="6" t="s">
        <v>2721</v>
      </c>
    </row>
    <row r="24" customFormat="false" ht="15" hidden="false" customHeight="true" outlineLevel="0" collapsed="false">
      <c r="A24" s="46" t="s">
        <v>2722</v>
      </c>
      <c r="B24" s="46" t="s">
        <v>470</v>
      </c>
      <c r="C24" s="46" t="s">
        <v>1643</v>
      </c>
      <c r="D24" s="24"/>
      <c r="E24" s="24"/>
      <c r="F24" s="24"/>
      <c r="G24" s="24"/>
      <c r="H24" s="24" t="n">
        <v>30</v>
      </c>
      <c r="I24" s="24" t="n">
        <v>60</v>
      </c>
      <c r="J24" s="24"/>
      <c r="K24" s="24"/>
      <c r="L24" s="24" t="n">
        <v>60</v>
      </c>
      <c r="M24" s="24" t="n">
        <v>90</v>
      </c>
      <c r="N24" s="24"/>
      <c r="O24" s="24"/>
      <c r="P24" s="24" t="n">
        <v>3</v>
      </c>
      <c r="Q24" s="24" t="n">
        <v>5</v>
      </c>
      <c r="R24" s="6" t="s">
        <v>2723</v>
      </c>
      <c r="S24" s="6" t="s">
        <v>2724</v>
      </c>
    </row>
  </sheetData>
  <autoFilter ref="A4:S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80"/>
    <col collapsed="false" customWidth="true" hidden="false" outlineLevel="0" max="4" min="4" style="1" width="58"/>
    <col collapsed="false" customWidth="true" hidden="false" outlineLevel="0" max="5" min="5" style="1" width="44"/>
  </cols>
  <sheetData>
    <row r="1" customFormat="false" ht="17.25" hidden="false" customHeight="true" outlineLevel="0" collapsed="false">
      <c r="A1" s="45" t="s">
        <v>2725</v>
      </c>
    </row>
    <row r="2" customFormat="false" ht="15" hidden="false" customHeight="true" outlineLevel="0" collapsed="false">
      <c r="A2" s="16" t="s">
        <v>2726</v>
      </c>
    </row>
    <row r="4" customFormat="false" ht="15" hidden="false" customHeight="true" outlineLevel="0" collapsed="false">
      <c r="A4" s="4" t="s">
        <v>2727</v>
      </c>
      <c r="B4" s="4" t="s">
        <v>2728</v>
      </c>
      <c r="C4" s="4" t="s">
        <v>2729</v>
      </c>
      <c r="D4" s="4" t="s">
        <v>2730</v>
      </c>
      <c r="E4" s="4" t="s">
        <v>2731</v>
      </c>
    </row>
    <row r="5" customFormat="false" ht="51.75" hidden="false" customHeight="true" outlineLevel="0" collapsed="false">
      <c r="A5" s="46" t="s">
        <v>2732</v>
      </c>
      <c r="B5" s="46" t="s">
        <v>2733</v>
      </c>
      <c r="C5" s="6" t="s">
        <v>2734</v>
      </c>
      <c r="D5" s="6" t="s">
        <v>2735</v>
      </c>
      <c r="E5" s="6" t="s">
        <v>2736</v>
      </c>
    </row>
    <row r="6" customFormat="false" ht="39" hidden="false" customHeight="true" outlineLevel="0" collapsed="false">
      <c r="A6" s="46" t="s">
        <v>2737</v>
      </c>
      <c r="B6" s="46" t="s">
        <v>2738</v>
      </c>
      <c r="C6" s="6" t="s">
        <v>2739</v>
      </c>
      <c r="D6" s="6" t="s">
        <v>2740</v>
      </c>
      <c r="E6" s="6" t="s">
        <v>2741</v>
      </c>
    </row>
    <row r="7" customFormat="false" ht="26.25" hidden="false" customHeight="true" outlineLevel="0" collapsed="false">
      <c r="A7" s="46" t="s">
        <v>2742</v>
      </c>
      <c r="B7" s="46" t="s">
        <v>2743</v>
      </c>
      <c r="C7" s="6" t="s">
        <v>2744</v>
      </c>
      <c r="D7" s="6" t="s">
        <v>2745</v>
      </c>
      <c r="E7" s="6" t="s">
        <v>2746</v>
      </c>
    </row>
    <row r="8" customFormat="false" ht="39" hidden="false" customHeight="true" outlineLevel="0" collapsed="false">
      <c r="A8" s="46" t="s">
        <v>2747</v>
      </c>
      <c r="B8" s="46" t="s">
        <v>2748</v>
      </c>
      <c r="C8" s="6" t="s">
        <v>2749</v>
      </c>
      <c r="D8" s="6" t="s">
        <v>2750</v>
      </c>
      <c r="E8" s="6" t="s">
        <v>2751</v>
      </c>
    </row>
    <row r="9" customFormat="false" ht="51.75" hidden="false" customHeight="true" outlineLevel="0" collapsed="false">
      <c r="A9" s="46" t="s">
        <v>2752</v>
      </c>
      <c r="B9" s="46" t="s">
        <v>2753</v>
      </c>
      <c r="C9" s="6" t="s">
        <v>2754</v>
      </c>
      <c r="D9" s="6" t="s">
        <v>2755</v>
      </c>
      <c r="E9" s="6" t="s">
        <v>2756</v>
      </c>
    </row>
    <row r="10" customFormat="false" ht="39" hidden="false" customHeight="true" outlineLevel="0" collapsed="false">
      <c r="A10" s="46" t="s">
        <v>2757</v>
      </c>
      <c r="B10" s="46" t="s">
        <v>2758</v>
      </c>
      <c r="C10" s="6" t="s">
        <v>2759</v>
      </c>
      <c r="D10" s="6" t="s">
        <v>2760</v>
      </c>
      <c r="E10" s="6" t="s">
        <v>2761</v>
      </c>
    </row>
    <row r="11" customFormat="false" ht="51.75" hidden="false" customHeight="true" outlineLevel="0" collapsed="false">
      <c r="A11" s="46" t="s">
        <v>2762</v>
      </c>
      <c r="B11" s="46" t="s">
        <v>2763</v>
      </c>
      <c r="C11" s="6" t="s">
        <v>2764</v>
      </c>
      <c r="D11" s="6" t="s">
        <v>2765</v>
      </c>
      <c r="E11" s="6" t="s">
        <v>2766</v>
      </c>
    </row>
    <row r="12" customFormat="false" ht="39" hidden="false" customHeight="true" outlineLevel="0" collapsed="false">
      <c r="A12" s="46" t="s">
        <v>2767</v>
      </c>
      <c r="B12" s="46" t="s">
        <v>2768</v>
      </c>
      <c r="C12" s="6" t="s">
        <v>2769</v>
      </c>
      <c r="D12" s="6" t="s">
        <v>2770</v>
      </c>
      <c r="E12" s="6" t="s">
        <v>2771</v>
      </c>
    </row>
    <row r="14" customFormat="false" ht="15" hidden="false" customHeight="true" outlineLevel="0" collapsed="false">
      <c r="A14" s="54" t="s">
        <v>2629</v>
      </c>
    </row>
    <row r="15" customFormat="false" ht="15" hidden="false" customHeight="true" outlineLevel="0" collapsed="false">
      <c r="A15" s="16" t="s">
        <v>2772</v>
      </c>
    </row>
    <row r="16" customFormat="false" ht="15" hidden="false" customHeight="true" outlineLevel="0" collapsed="false">
      <c r="A16" s="4" t="s">
        <v>2773</v>
      </c>
      <c r="B16" s="4" t="s">
        <v>2774</v>
      </c>
      <c r="C16" s="4" t="s">
        <v>2775</v>
      </c>
    </row>
    <row r="17" customFormat="false" ht="26.25" hidden="false" customHeight="true" outlineLevel="0" collapsed="false">
      <c r="A17" s="46" t="s">
        <v>625</v>
      </c>
      <c r="B17" s="46" t="s">
        <v>2776</v>
      </c>
      <c r="C17" s="6" t="s">
        <v>2777</v>
      </c>
    </row>
    <row r="18" customFormat="false" ht="26.25" hidden="false" customHeight="true" outlineLevel="0" collapsed="false">
      <c r="A18" s="46" t="s">
        <v>789</v>
      </c>
      <c r="B18" s="46" t="s">
        <v>2778</v>
      </c>
      <c r="C18" s="6" t="s">
        <v>2779</v>
      </c>
    </row>
    <row r="19" customFormat="false" ht="26.25" hidden="false" customHeight="true" outlineLevel="0" collapsed="false">
      <c r="A19" s="46" t="s">
        <v>2780</v>
      </c>
      <c r="B19" s="46" t="s">
        <v>2781</v>
      </c>
      <c r="C19" s="6" t="s">
        <v>2782</v>
      </c>
    </row>
    <row r="20" customFormat="false" ht="15" hidden="false" customHeight="true" outlineLevel="0" collapsed="false">
      <c r="A20" s="46" t="s">
        <v>2783</v>
      </c>
      <c r="B20" s="46" t="s">
        <v>2781</v>
      </c>
      <c r="C20" s="6" t="s">
        <v>2784</v>
      </c>
    </row>
    <row r="21" customFormat="false" ht="15" hidden="false" customHeight="true" outlineLevel="0" collapsed="false">
      <c r="A21" s="46" t="s">
        <v>481</v>
      </c>
      <c r="B21" s="46" t="s">
        <v>2785</v>
      </c>
      <c r="C21" s="6" t="s">
        <v>2786</v>
      </c>
    </row>
    <row r="22" customFormat="false" ht="26.25" hidden="false" customHeight="true" outlineLevel="0" collapsed="false">
      <c r="A22" s="46" t="s">
        <v>865</v>
      </c>
      <c r="B22" s="46" t="s">
        <v>2787</v>
      </c>
      <c r="C22" s="6" t="s">
        <v>2788</v>
      </c>
    </row>
    <row r="23" customFormat="false" ht="26.25" hidden="false" customHeight="true" outlineLevel="0" collapsed="false">
      <c r="A23" s="46" t="s">
        <v>1772</v>
      </c>
      <c r="B23" s="46" t="s">
        <v>2789</v>
      </c>
      <c r="C23" s="6" t="s">
        <v>2790</v>
      </c>
    </row>
    <row r="25" customFormat="false" ht="15" hidden="false" customHeight="true" outlineLevel="0" collapsed="false">
      <c r="A25" s="3" t="s">
        <v>2791</v>
      </c>
      <c r="B25" s="3"/>
      <c r="C25" s="3"/>
      <c r="D25" s="3"/>
      <c r="E25" s="3"/>
    </row>
  </sheetData>
  <autoFilter ref="A4:E12"/>
  <mergeCells count="1">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9"/>
    <col collapsed="false" customWidth="true" hidden="false" outlineLevel="0" max="3" min="3" style="1" width="26"/>
    <col collapsed="false" customWidth="true" hidden="false" outlineLevel="0" max="4" min="4" style="1" width="42"/>
    <col collapsed="false" customWidth="true" hidden="false" outlineLevel="0" max="5" min="5" style="1" width="54"/>
    <col collapsed="false" customWidth="true" hidden="false" outlineLevel="0" max="6" min="6" style="1" width="58"/>
  </cols>
  <sheetData>
    <row r="1" customFormat="false" ht="17.25" hidden="false" customHeight="true" outlineLevel="0" collapsed="false">
      <c r="A1" s="45" t="s">
        <v>2792</v>
      </c>
    </row>
    <row r="2" customFormat="false" ht="15" hidden="false" customHeight="true" outlineLevel="0" collapsed="false">
      <c r="A2" s="16" t="s">
        <v>2793</v>
      </c>
    </row>
    <row r="4" customFormat="false" ht="15" hidden="false" customHeight="true" outlineLevel="0" collapsed="false">
      <c r="A4" s="4" t="s">
        <v>2727</v>
      </c>
      <c r="B4" s="4" t="s">
        <v>1912</v>
      </c>
      <c r="C4" s="4" t="s">
        <v>2794</v>
      </c>
      <c r="D4" s="4" t="s">
        <v>2795</v>
      </c>
      <c r="E4" s="4" t="s">
        <v>2729</v>
      </c>
      <c r="F4" s="4" t="s">
        <v>2796</v>
      </c>
      <c r="G4" s="4" t="s">
        <v>2797</v>
      </c>
    </row>
    <row r="5" customFormat="false" ht="39" hidden="false" customHeight="true" outlineLevel="0" collapsed="false">
      <c r="A5" s="46" t="s">
        <v>2798</v>
      </c>
      <c r="B5" s="24" t="n">
        <v>10</v>
      </c>
      <c r="C5" s="46" t="s">
        <v>2799</v>
      </c>
      <c r="D5" s="46" t="s">
        <v>2800</v>
      </c>
      <c r="E5" s="6" t="s">
        <v>2801</v>
      </c>
      <c r="F5" s="6" t="s">
        <v>2802</v>
      </c>
      <c r="G5" s="6" t="s">
        <v>2803</v>
      </c>
    </row>
    <row r="6" customFormat="false" ht="26.25" hidden="false" customHeight="true" outlineLevel="0" collapsed="false">
      <c r="A6" s="46" t="s">
        <v>2804</v>
      </c>
      <c r="B6" s="24" t="n">
        <v>20</v>
      </c>
      <c r="C6" s="46" t="s">
        <v>2799</v>
      </c>
      <c r="D6" s="46" t="s">
        <v>2805</v>
      </c>
      <c r="E6" s="6" t="s">
        <v>2806</v>
      </c>
      <c r="F6" s="6" t="s">
        <v>2807</v>
      </c>
      <c r="G6" s="6" t="s">
        <v>2808</v>
      </c>
    </row>
    <row r="7" customFormat="false" ht="39" hidden="false" customHeight="true" outlineLevel="0" collapsed="false">
      <c r="A7" s="46" t="s">
        <v>2809</v>
      </c>
      <c r="B7" s="24" t="n">
        <v>30</v>
      </c>
      <c r="C7" s="46" t="s">
        <v>2799</v>
      </c>
      <c r="D7" s="46" t="s">
        <v>2810</v>
      </c>
      <c r="E7" s="6" t="s">
        <v>2806</v>
      </c>
      <c r="F7" s="6" t="s">
        <v>2811</v>
      </c>
      <c r="G7" s="6" t="s">
        <v>2812</v>
      </c>
    </row>
    <row r="8" customFormat="false" ht="26.25" hidden="false" customHeight="true" outlineLevel="0" collapsed="false">
      <c r="A8" s="46" t="s">
        <v>2813</v>
      </c>
      <c r="B8" s="24" t="n">
        <v>40</v>
      </c>
      <c r="C8" s="46" t="s">
        <v>2799</v>
      </c>
      <c r="D8" s="46" t="s">
        <v>2814</v>
      </c>
      <c r="E8" s="6" t="s">
        <v>2815</v>
      </c>
      <c r="F8" s="6" t="s">
        <v>2816</v>
      </c>
      <c r="G8" s="6" t="s">
        <v>2817</v>
      </c>
    </row>
    <row r="9" customFormat="false" ht="39" hidden="false" customHeight="true" outlineLevel="0" collapsed="false">
      <c r="A9" s="46" t="s">
        <v>2818</v>
      </c>
      <c r="B9" s="24" t="n">
        <v>50</v>
      </c>
      <c r="C9" s="46" t="s">
        <v>2799</v>
      </c>
      <c r="D9" s="46" t="s">
        <v>2819</v>
      </c>
      <c r="E9" s="6" t="s">
        <v>2820</v>
      </c>
      <c r="F9" s="6" t="s">
        <v>2821</v>
      </c>
      <c r="G9" s="6" t="s">
        <v>2822</v>
      </c>
    </row>
    <row r="10" customFormat="false" ht="51.75" hidden="false" customHeight="true" outlineLevel="0" collapsed="false">
      <c r="A10" s="46" t="s">
        <v>2823</v>
      </c>
      <c r="B10" s="24" t="n">
        <v>60</v>
      </c>
      <c r="C10" s="46" t="s">
        <v>2799</v>
      </c>
      <c r="D10" s="46" t="s">
        <v>2819</v>
      </c>
      <c r="E10" s="6" t="s">
        <v>2824</v>
      </c>
      <c r="F10" s="6" t="s">
        <v>2825</v>
      </c>
      <c r="G10" s="6" t="s">
        <v>2826</v>
      </c>
    </row>
    <row r="11" customFormat="false" ht="26.25" hidden="false" customHeight="true" outlineLevel="0" collapsed="false">
      <c r="A11" s="46" t="s">
        <v>2827</v>
      </c>
      <c r="B11" s="24" t="n">
        <v>70</v>
      </c>
      <c r="C11" s="46" t="s">
        <v>2799</v>
      </c>
      <c r="D11" s="46" t="s">
        <v>2814</v>
      </c>
      <c r="E11" s="6" t="s">
        <v>2828</v>
      </c>
      <c r="F11" s="6" t="s">
        <v>2829</v>
      </c>
      <c r="G11" s="6" t="s">
        <v>2830</v>
      </c>
    </row>
    <row r="12" customFormat="false" ht="26.25" hidden="false" customHeight="true" outlineLevel="0" collapsed="false">
      <c r="A12" s="46" t="s">
        <v>2831</v>
      </c>
      <c r="B12" s="24" t="n">
        <v>80</v>
      </c>
      <c r="C12" s="46" t="s">
        <v>2799</v>
      </c>
      <c r="D12" s="46" t="s">
        <v>2819</v>
      </c>
      <c r="E12" s="6" t="s">
        <v>2832</v>
      </c>
      <c r="F12" s="6" t="s">
        <v>2833</v>
      </c>
      <c r="G12" s="6" t="s">
        <v>2834</v>
      </c>
    </row>
    <row r="13" customFormat="false" ht="39" hidden="false" customHeight="true" outlineLevel="0" collapsed="false">
      <c r="A13" s="46" t="s">
        <v>2835</v>
      </c>
      <c r="B13" s="24" t="n">
        <v>90</v>
      </c>
      <c r="C13" s="46" t="s">
        <v>2799</v>
      </c>
      <c r="D13" s="46" t="s">
        <v>2836</v>
      </c>
      <c r="E13" s="6" t="s">
        <v>2837</v>
      </c>
      <c r="F13" s="6" t="s">
        <v>2838</v>
      </c>
      <c r="G13" s="6" t="s">
        <v>2839</v>
      </c>
    </row>
    <row r="14" customFormat="false" ht="39" hidden="false" customHeight="true" outlineLevel="0" collapsed="false">
      <c r="A14" s="46" t="s">
        <v>2840</v>
      </c>
      <c r="B14" s="24" t="n">
        <v>100</v>
      </c>
      <c r="C14" s="46" t="s">
        <v>2841</v>
      </c>
      <c r="D14" s="46" t="s">
        <v>2842</v>
      </c>
      <c r="E14" s="6" t="s">
        <v>2843</v>
      </c>
      <c r="F14" s="6" t="s">
        <v>2844</v>
      </c>
      <c r="G14" s="6" t="s">
        <v>2845</v>
      </c>
    </row>
    <row r="15" customFormat="false" ht="26.25" hidden="false" customHeight="true" outlineLevel="0" collapsed="false">
      <c r="A15" s="46" t="s">
        <v>2846</v>
      </c>
      <c r="B15" s="24" t="n">
        <v>110</v>
      </c>
      <c r="C15" s="46" t="s">
        <v>2841</v>
      </c>
      <c r="D15" s="46" t="s">
        <v>2847</v>
      </c>
      <c r="E15" s="6" t="s">
        <v>2848</v>
      </c>
      <c r="F15" s="6" t="s">
        <v>2849</v>
      </c>
      <c r="G15" s="6" t="s">
        <v>2850</v>
      </c>
    </row>
    <row r="16" customFormat="false" ht="26.25" hidden="false" customHeight="true" outlineLevel="0" collapsed="false">
      <c r="A16" s="46" t="s">
        <v>2851</v>
      </c>
      <c r="B16" s="24" t="n">
        <v>120</v>
      </c>
      <c r="C16" s="46" t="s">
        <v>2841</v>
      </c>
      <c r="D16" s="46" t="s">
        <v>2852</v>
      </c>
      <c r="E16" s="6" t="s">
        <v>2806</v>
      </c>
      <c r="F16" s="6" t="s">
        <v>2853</v>
      </c>
      <c r="G16" s="6" t="s">
        <v>2854</v>
      </c>
    </row>
    <row r="17" customFormat="false" ht="26.25" hidden="false" customHeight="true" outlineLevel="0" collapsed="false">
      <c r="A17" s="46" t="s">
        <v>2855</v>
      </c>
      <c r="B17" s="24" t="n">
        <v>130</v>
      </c>
      <c r="C17" s="46" t="s">
        <v>2856</v>
      </c>
      <c r="D17" s="46" t="s">
        <v>2819</v>
      </c>
      <c r="E17" s="6" t="s">
        <v>2857</v>
      </c>
      <c r="F17" s="6" t="s">
        <v>2858</v>
      </c>
      <c r="G17" s="6" t="s">
        <v>2859</v>
      </c>
    </row>
    <row r="18" customFormat="false" ht="26.25" hidden="false" customHeight="true" outlineLevel="0" collapsed="false">
      <c r="A18" s="46" t="s">
        <v>2860</v>
      </c>
      <c r="B18" s="24" t="n">
        <v>140</v>
      </c>
      <c r="C18" s="46" t="s">
        <v>2856</v>
      </c>
      <c r="D18" s="46" t="s">
        <v>2819</v>
      </c>
      <c r="E18" s="6" t="s">
        <v>2861</v>
      </c>
      <c r="F18" s="6" t="s">
        <v>2862</v>
      </c>
      <c r="G18" s="6" t="s">
        <v>2863</v>
      </c>
    </row>
    <row r="19" customFormat="false" ht="15" hidden="false" customHeight="true" outlineLevel="0" collapsed="false">
      <c r="A19" s="46" t="s">
        <v>2864</v>
      </c>
      <c r="B19" s="24" t="n">
        <v>150</v>
      </c>
      <c r="C19" s="46" t="s">
        <v>2856</v>
      </c>
      <c r="D19" s="46" t="s">
        <v>2819</v>
      </c>
      <c r="E19" s="6" t="s">
        <v>2865</v>
      </c>
      <c r="F19" s="6" t="s">
        <v>2866</v>
      </c>
      <c r="G19" s="6" t="s">
        <v>2867</v>
      </c>
    </row>
  </sheetData>
  <autoFilter ref="A4:G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34"/>
    <col collapsed="false" customWidth="true" hidden="false" outlineLevel="0" max="3" min="3" style="1" width="40"/>
    <col collapsed="false" customWidth="true" hidden="false" outlineLevel="0" max="4" min="4" style="1" width="42"/>
  </cols>
  <sheetData>
    <row r="1" customFormat="false" ht="17.25" hidden="false" customHeight="true" outlineLevel="0" collapsed="false">
      <c r="A1" s="45" t="s">
        <v>2595</v>
      </c>
    </row>
    <row r="2" customFormat="false" ht="15" hidden="false" customHeight="true" outlineLevel="0" collapsed="false">
      <c r="A2" s="16" t="s">
        <v>2868</v>
      </c>
    </row>
    <row r="4" customFormat="false" ht="15" hidden="false" customHeight="true" outlineLevel="0" collapsed="false">
      <c r="A4" s="4" t="s">
        <v>2869</v>
      </c>
      <c r="B4" s="4" t="s">
        <v>2870</v>
      </c>
      <c r="C4" s="4" t="s">
        <v>2871</v>
      </c>
      <c r="D4" s="4" t="s">
        <v>2872</v>
      </c>
    </row>
    <row r="5" customFormat="false" ht="15" hidden="false" customHeight="true" outlineLevel="0" collapsed="false">
      <c r="A5" s="46" t="s">
        <v>2873</v>
      </c>
      <c r="B5" s="6" t="s">
        <v>2874</v>
      </c>
      <c r="C5" s="6" t="s">
        <v>2875</v>
      </c>
      <c r="D5" s="6" t="s">
        <v>2876</v>
      </c>
    </row>
    <row r="6" customFormat="false" ht="39" hidden="false" customHeight="true" outlineLevel="0" collapsed="false">
      <c r="A6" s="46" t="s">
        <v>2877</v>
      </c>
      <c r="B6" s="6" t="s">
        <v>2878</v>
      </c>
      <c r="C6" s="6" t="s">
        <v>2879</v>
      </c>
      <c r="D6" s="6" t="s">
        <v>2880</v>
      </c>
    </row>
    <row r="7" customFormat="false" ht="64.5" hidden="false" customHeight="true" outlineLevel="0" collapsed="false">
      <c r="A7" s="46" t="s">
        <v>2881</v>
      </c>
      <c r="B7" s="6" t="s">
        <v>2882</v>
      </c>
      <c r="C7" s="6" t="s">
        <v>2883</v>
      </c>
      <c r="D7" s="6" t="s">
        <v>2884</v>
      </c>
    </row>
    <row r="8" customFormat="false" ht="26.25" hidden="false" customHeight="true" outlineLevel="0" collapsed="false">
      <c r="A8" s="46" t="s">
        <v>2885</v>
      </c>
      <c r="B8" s="6" t="s">
        <v>2886</v>
      </c>
      <c r="C8" s="6" t="s">
        <v>2887</v>
      </c>
      <c r="D8" s="6" t="s">
        <v>2888</v>
      </c>
    </row>
    <row r="10" customFormat="false" ht="15" hidden="false" customHeight="true" outlineLevel="0" collapsed="false">
      <c r="A10" s="54" t="s">
        <v>2889</v>
      </c>
    </row>
    <row r="11" customFormat="false" ht="15" hidden="false" customHeight="true" outlineLevel="0" collapsed="false">
      <c r="A11" s="16" t="s">
        <v>2890</v>
      </c>
    </row>
    <row r="12" customFormat="false" ht="15" hidden="false" customHeight="true" outlineLevel="0" collapsed="false">
      <c r="A12" s="4" t="s">
        <v>2891</v>
      </c>
      <c r="B12" s="4" t="s">
        <v>2892</v>
      </c>
      <c r="C12" s="4" t="s">
        <v>2893</v>
      </c>
    </row>
    <row r="13" customFormat="false" ht="15" hidden="false" customHeight="true" outlineLevel="0" collapsed="false">
      <c r="A13" s="6" t="s">
        <v>2894</v>
      </c>
      <c r="B13" s="6" t="s">
        <v>2895</v>
      </c>
      <c r="C13" s="6" t="s">
        <v>2896</v>
      </c>
    </row>
    <row r="14" customFormat="false" ht="15" hidden="false" customHeight="true" outlineLevel="0" collapsed="false">
      <c r="A14" s="6" t="s">
        <v>2897</v>
      </c>
      <c r="B14" s="6" t="s">
        <v>2898</v>
      </c>
      <c r="C14" s="6" t="s">
        <v>2899</v>
      </c>
    </row>
    <row r="15" customFormat="false" ht="15" hidden="false" customHeight="true" outlineLevel="0" collapsed="false">
      <c r="A15" s="6" t="s">
        <v>2900</v>
      </c>
      <c r="B15" s="6" t="s">
        <v>418</v>
      </c>
      <c r="C15" s="6" t="s">
        <v>2901</v>
      </c>
    </row>
    <row r="16" customFormat="false" ht="15" hidden="false" customHeight="true" outlineLevel="0" collapsed="false">
      <c r="A16" s="6" t="s">
        <v>2902</v>
      </c>
      <c r="B16" s="6" t="s">
        <v>2903</v>
      </c>
      <c r="C16" s="6" t="s">
        <v>2904</v>
      </c>
    </row>
    <row r="17" customFormat="false" ht="26.25" hidden="false" customHeight="true" outlineLevel="0" collapsed="false">
      <c r="A17" s="6" t="s">
        <v>2905</v>
      </c>
      <c r="B17" s="6" t="s">
        <v>2906</v>
      </c>
      <c r="C17" s="6" t="s">
        <v>11</v>
      </c>
    </row>
    <row r="19" customFormat="false" ht="15" hidden="false" customHeight="true" outlineLevel="0" collapsed="false">
      <c r="A19" s="12" t="s">
        <v>2907</v>
      </c>
    </row>
    <row r="20" customFormat="false" ht="15" hidden="false" customHeight="true" outlineLevel="0" collapsed="false">
      <c r="A20" s="3" t="s">
        <v>2908</v>
      </c>
      <c r="B20" s="3"/>
      <c r="C20" s="3"/>
      <c r="D20" s="3"/>
    </row>
    <row r="21" customFormat="false" ht="15" hidden="false" customHeight="true" outlineLevel="0" collapsed="false">
      <c r="A21" s="3"/>
      <c r="B21" s="3"/>
      <c r="C21" s="3"/>
      <c r="D21" s="3"/>
    </row>
  </sheetData>
  <autoFilter ref="A4:D8"/>
  <mergeCells count="1">
    <mergeCell ref="A20: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28"/>
    <col collapsed="false" customWidth="true" hidden="false" outlineLevel="0" max="4" min="4" style="1" width="30"/>
    <col collapsed="false" customWidth="true" hidden="false" outlineLevel="0" max="5" min="5" style="1" width="8"/>
    <col collapsed="false" customWidth="true" hidden="false" outlineLevel="0" max="7" min="6" style="1" width="44"/>
    <col collapsed="false" customWidth="true" hidden="false" outlineLevel="0" max="8" min="8" style="1" width="11"/>
    <col collapsed="false" customWidth="true" hidden="false" outlineLevel="0" max="9" min="9" style="1" width="50"/>
  </cols>
  <sheetData>
    <row r="1" customFormat="false" ht="17.25" hidden="false" customHeight="true" outlineLevel="0" collapsed="false">
      <c r="A1" s="45" t="s">
        <v>305</v>
      </c>
    </row>
    <row r="2" customFormat="false" ht="15" hidden="false" customHeight="true" outlineLevel="0" collapsed="false">
      <c r="A2" s="16" t="s">
        <v>2909</v>
      </c>
    </row>
    <row r="4" customFormat="false" ht="26.25" hidden="false" customHeight="true" outlineLevel="0" collapsed="false">
      <c r="A4" s="4" t="s">
        <v>2910</v>
      </c>
      <c r="B4" s="4" t="s">
        <v>2911</v>
      </c>
      <c r="C4" s="4" t="s">
        <v>2912</v>
      </c>
      <c r="D4" s="4" t="s">
        <v>2913</v>
      </c>
      <c r="E4" s="4" t="s">
        <v>2914</v>
      </c>
      <c r="F4" s="4" t="s">
        <v>2915</v>
      </c>
      <c r="G4" s="4" t="s">
        <v>2916</v>
      </c>
      <c r="H4" s="4" t="s">
        <v>2917</v>
      </c>
      <c r="I4" s="4" t="s">
        <v>2664</v>
      </c>
    </row>
    <row r="5" customFormat="false" ht="64.5" hidden="false" customHeight="true" outlineLevel="0" collapsed="false">
      <c r="A5" s="46" t="s">
        <v>2918</v>
      </c>
      <c r="B5" s="46" t="s">
        <v>2918</v>
      </c>
      <c r="C5" s="6" t="s">
        <v>2919</v>
      </c>
      <c r="D5" s="6" t="s">
        <v>2920</v>
      </c>
      <c r="E5" s="24" t="n">
        <v>1</v>
      </c>
      <c r="F5" s="6" t="s">
        <v>2921</v>
      </c>
      <c r="G5" s="6" t="s">
        <v>2922</v>
      </c>
      <c r="H5" s="24" t="s">
        <v>2923</v>
      </c>
      <c r="I5" s="6" t="s">
        <v>2924</v>
      </c>
    </row>
    <row r="6" customFormat="false" ht="51.75" hidden="false" customHeight="true" outlineLevel="0" collapsed="false">
      <c r="A6" s="46" t="s">
        <v>973</v>
      </c>
      <c r="B6" s="46" t="s">
        <v>973</v>
      </c>
      <c r="C6" s="6" t="s">
        <v>2925</v>
      </c>
      <c r="D6" s="6" t="s">
        <v>2926</v>
      </c>
      <c r="E6" s="24" t="n">
        <v>1</v>
      </c>
      <c r="F6" s="6" t="s">
        <v>2927</v>
      </c>
      <c r="G6" s="6" t="s">
        <v>2928</v>
      </c>
      <c r="H6" s="24" t="s">
        <v>2923</v>
      </c>
      <c r="I6" s="6" t="s">
        <v>2929</v>
      </c>
    </row>
    <row r="7" customFormat="false" ht="64.5" hidden="false" customHeight="true" outlineLevel="0" collapsed="false">
      <c r="A7" s="46" t="s">
        <v>790</v>
      </c>
      <c r="B7" s="46" t="s">
        <v>790</v>
      </c>
      <c r="C7" s="6" t="s">
        <v>2930</v>
      </c>
      <c r="D7" s="6" t="s">
        <v>2931</v>
      </c>
      <c r="E7" s="24" t="n">
        <v>1</v>
      </c>
      <c r="F7" s="6" t="s">
        <v>2932</v>
      </c>
      <c r="G7" s="6" t="s">
        <v>2933</v>
      </c>
      <c r="H7" s="24" t="s">
        <v>2923</v>
      </c>
      <c r="I7" s="6" t="s">
        <v>2934</v>
      </c>
    </row>
    <row r="8" customFormat="false" ht="51.75" hidden="false" customHeight="true" outlineLevel="0" collapsed="false">
      <c r="A8" s="46" t="s">
        <v>2935</v>
      </c>
      <c r="B8" s="46" t="s">
        <v>2935</v>
      </c>
      <c r="C8" s="6" t="s">
        <v>2936</v>
      </c>
      <c r="D8" s="6" t="s">
        <v>2937</v>
      </c>
      <c r="E8" s="24" t="n">
        <v>1</v>
      </c>
      <c r="F8" s="6" t="s">
        <v>2938</v>
      </c>
      <c r="G8" s="6" t="s">
        <v>2939</v>
      </c>
      <c r="H8" s="24" t="s">
        <v>2923</v>
      </c>
      <c r="I8" s="6" t="s">
        <v>2940</v>
      </c>
    </row>
    <row r="9" customFormat="false" ht="51.75" hidden="false" customHeight="true" outlineLevel="0" collapsed="false">
      <c r="A9" s="46" t="s">
        <v>2941</v>
      </c>
      <c r="B9" s="46" t="s">
        <v>2941</v>
      </c>
      <c r="C9" s="6" t="s">
        <v>2942</v>
      </c>
      <c r="D9" s="6" t="s">
        <v>2943</v>
      </c>
      <c r="E9" s="24" t="n">
        <v>1</v>
      </c>
      <c r="F9" s="6" t="s">
        <v>2944</v>
      </c>
      <c r="G9" s="6" t="s">
        <v>2945</v>
      </c>
      <c r="H9" s="24" t="s">
        <v>2923</v>
      </c>
      <c r="I9" s="6" t="s">
        <v>2946</v>
      </c>
    </row>
    <row r="10" customFormat="false" ht="51.75" hidden="false" customHeight="true" outlineLevel="0" collapsed="false">
      <c r="A10" s="46" t="s">
        <v>1556</v>
      </c>
      <c r="B10" s="46" t="s">
        <v>1556</v>
      </c>
      <c r="C10" s="6" t="s">
        <v>2947</v>
      </c>
      <c r="D10" s="6" t="s">
        <v>2948</v>
      </c>
      <c r="E10" s="24" t="n">
        <v>1</v>
      </c>
      <c r="F10" s="6" t="s">
        <v>2949</v>
      </c>
      <c r="G10" s="6" t="s">
        <v>2950</v>
      </c>
      <c r="H10" s="24" t="s">
        <v>2923</v>
      </c>
      <c r="I10" s="6" t="s">
        <v>2951</v>
      </c>
    </row>
    <row r="12" customFormat="false" ht="15" hidden="false" customHeight="true" outlineLevel="0" collapsed="false">
      <c r="A12" s="54" t="s">
        <v>2952</v>
      </c>
    </row>
    <row r="13" customFormat="false" ht="15" hidden="false" customHeight="true" outlineLevel="0" collapsed="false">
      <c r="A13" s="18" t="s">
        <v>2953</v>
      </c>
      <c r="B13" s="18"/>
      <c r="C13" s="18"/>
      <c r="D13" s="18"/>
      <c r="E13" s="18"/>
      <c r="F13" s="18"/>
      <c r="G13" s="18"/>
      <c r="H13" s="18"/>
      <c r="I13" s="18"/>
    </row>
    <row r="14" customFormat="false" ht="15" hidden="false" customHeight="true" outlineLevel="0" collapsed="false">
      <c r="A14" s="18" t="s">
        <v>2954</v>
      </c>
      <c r="B14" s="18"/>
      <c r="C14" s="18"/>
      <c r="D14" s="18"/>
      <c r="E14" s="18"/>
      <c r="F14" s="18"/>
      <c r="G14" s="18"/>
      <c r="H14" s="18"/>
      <c r="I14" s="18"/>
    </row>
    <row r="15" customFormat="false" ht="15" hidden="false" customHeight="true" outlineLevel="0" collapsed="false">
      <c r="A15" s="18" t="s">
        <v>2955</v>
      </c>
      <c r="B15" s="18"/>
      <c r="C15" s="18"/>
      <c r="D15" s="18"/>
      <c r="E15" s="18"/>
      <c r="F15" s="18"/>
      <c r="G15" s="18"/>
      <c r="H15" s="18"/>
      <c r="I15" s="18"/>
    </row>
    <row r="16" customFormat="false" ht="15" hidden="false" customHeight="true" outlineLevel="0" collapsed="false">
      <c r="A16" s="18" t="s">
        <v>2956</v>
      </c>
      <c r="B16" s="18"/>
      <c r="C16" s="18"/>
      <c r="D16" s="18"/>
      <c r="E16" s="18"/>
      <c r="F16" s="18"/>
      <c r="G16" s="18"/>
      <c r="H16" s="18"/>
      <c r="I16" s="18"/>
    </row>
    <row r="17" customFormat="false" ht="15" hidden="false" customHeight="true" outlineLevel="0" collapsed="false">
      <c r="A17" s="18" t="s">
        <v>2957</v>
      </c>
      <c r="B17" s="18"/>
      <c r="C17" s="18"/>
      <c r="D17" s="18"/>
      <c r="E17" s="18"/>
      <c r="F17" s="18"/>
      <c r="G17" s="18"/>
      <c r="H17" s="18"/>
      <c r="I17" s="18"/>
    </row>
    <row r="18" customFormat="false" ht="15" hidden="false" customHeight="true" outlineLevel="0" collapsed="false">
      <c r="A18" s="18" t="s">
        <v>2958</v>
      </c>
      <c r="B18" s="18"/>
      <c r="C18" s="18"/>
      <c r="D18" s="18"/>
      <c r="E18" s="18"/>
      <c r="F18" s="18"/>
      <c r="G18" s="18"/>
      <c r="H18" s="18"/>
      <c r="I18" s="18"/>
    </row>
    <row r="19" customFormat="false" ht="15" hidden="false" customHeight="true" outlineLevel="0" collapsed="false">
      <c r="A19" s="18" t="s">
        <v>2959</v>
      </c>
      <c r="B19" s="18"/>
      <c r="C19" s="18"/>
      <c r="D19" s="18"/>
      <c r="E19" s="18"/>
      <c r="F19" s="18"/>
      <c r="G19" s="18"/>
      <c r="H19" s="18"/>
      <c r="I19" s="18"/>
    </row>
    <row r="21" customFormat="false" ht="23.25" hidden="false" customHeight="true" outlineLevel="0" collapsed="false">
      <c r="A21" s="60" t="s">
        <v>2960</v>
      </c>
      <c r="B21" s="60"/>
      <c r="C21" s="60"/>
      <c r="D21" s="60"/>
      <c r="E21" s="60"/>
      <c r="F21" s="60"/>
      <c r="G21" s="60"/>
      <c r="H21" s="60"/>
      <c r="I21" s="60"/>
    </row>
  </sheetData>
  <autoFilter ref="A4:I10"/>
  <mergeCells count="8">
    <mergeCell ref="A13:I13"/>
    <mergeCell ref="A14:I14"/>
    <mergeCell ref="A15:I15"/>
    <mergeCell ref="A16:I16"/>
    <mergeCell ref="A17:I17"/>
    <mergeCell ref="A18:I18"/>
    <mergeCell ref="A19:I19"/>
    <mergeCell ref="A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68"/>
    <col collapsed="false" customWidth="true" hidden="false" outlineLevel="0" max="4" min="4" style="1" width="40"/>
    <col collapsed="false" customWidth="true" hidden="false" outlineLevel="0" max="5" min="5" style="1" width="44"/>
  </cols>
  <sheetData>
    <row r="1" customFormat="false" ht="17.25" hidden="false" customHeight="true" outlineLevel="0" collapsed="false">
      <c r="A1" s="45" t="s">
        <v>23</v>
      </c>
    </row>
    <row r="2" customFormat="false" ht="15" hidden="false" customHeight="true" outlineLevel="0" collapsed="false">
      <c r="A2" s="16" t="s">
        <v>2961</v>
      </c>
    </row>
    <row r="4" customFormat="false" ht="15" hidden="false" customHeight="true" outlineLevel="0" collapsed="false">
      <c r="A4" s="4" t="s">
        <v>2962</v>
      </c>
      <c r="B4" s="4" t="s">
        <v>2963</v>
      </c>
      <c r="C4" s="4" t="s">
        <v>2964</v>
      </c>
      <c r="D4" s="4" t="s">
        <v>2965</v>
      </c>
      <c r="E4" s="4" t="s">
        <v>2872</v>
      </c>
    </row>
    <row r="5" customFormat="false" ht="26.25" hidden="false" customHeight="true" outlineLevel="0" collapsed="false">
      <c r="A5" s="46" t="s">
        <v>2966</v>
      </c>
      <c r="B5" s="46" t="s">
        <v>2967</v>
      </c>
      <c r="C5" s="6" t="s">
        <v>2968</v>
      </c>
      <c r="D5" s="6" t="s">
        <v>2969</v>
      </c>
      <c r="E5" s="6" t="s">
        <v>2970</v>
      </c>
    </row>
    <row r="6" customFormat="false" ht="51.75" hidden="false" customHeight="true" outlineLevel="0" collapsed="false">
      <c r="A6" s="46" t="s">
        <v>2971</v>
      </c>
      <c r="B6" s="46" t="s">
        <v>2972</v>
      </c>
      <c r="C6" s="6" t="s">
        <v>2973</v>
      </c>
      <c r="D6" s="6" t="s">
        <v>2974</v>
      </c>
      <c r="E6" s="6" t="s">
        <v>2975</v>
      </c>
    </row>
    <row r="7" customFormat="false" ht="26.25" hidden="false" customHeight="true" outlineLevel="0" collapsed="false">
      <c r="A7" s="46" t="s">
        <v>2976</v>
      </c>
      <c r="B7" s="46" t="s">
        <v>2977</v>
      </c>
      <c r="C7" s="6" t="s">
        <v>2978</v>
      </c>
      <c r="D7" s="6" t="s">
        <v>2979</v>
      </c>
      <c r="E7" s="6" t="s">
        <v>2980</v>
      </c>
    </row>
    <row r="8" customFormat="false" ht="26.25" hidden="false" customHeight="true" outlineLevel="0" collapsed="false">
      <c r="A8" s="46" t="s">
        <v>2981</v>
      </c>
      <c r="B8" s="46" t="s">
        <v>2982</v>
      </c>
      <c r="C8" s="6" t="s">
        <v>2983</v>
      </c>
      <c r="D8" s="6" t="s">
        <v>2984</v>
      </c>
      <c r="E8" s="6" t="s">
        <v>2985</v>
      </c>
    </row>
  </sheetData>
  <autoFilter ref="A4:E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8"/>
    <col collapsed="false" customWidth="true" hidden="false" outlineLevel="0" max="4" min="3" style="1" width="9"/>
    <col collapsed="false" customWidth="true" hidden="false" outlineLevel="0" max="5" min="5" style="1" width="38"/>
    <col collapsed="false" customWidth="true" hidden="false" outlineLevel="0" max="6" min="6" style="1" width="30"/>
    <col collapsed="false" customWidth="true" hidden="false" outlineLevel="0" max="7" min="7" style="1" width="26"/>
    <col collapsed="false" customWidth="true" hidden="false" outlineLevel="0" max="8" min="8" style="1" width="58"/>
  </cols>
  <sheetData>
    <row r="1" customFormat="false" ht="17.25" hidden="false" customHeight="true" outlineLevel="0" collapsed="false">
      <c r="A1" s="45" t="s">
        <v>2986</v>
      </c>
    </row>
    <row r="2" customFormat="false" ht="15" hidden="false" customHeight="true" outlineLevel="0" collapsed="false">
      <c r="A2" s="16" t="s">
        <v>2987</v>
      </c>
    </row>
    <row r="4" customFormat="false" ht="26.25" hidden="false" customHeight="true" outlineLevel="0" collapsed="false">
      <c r="A4" s="4" t="s">
        <v>2988</v>
      </c>
      <c r="B4" s="4" t="s">
        <v>2989</v>
      </c>
      <c r="C4" s="4" t="s">
        <v>2990</v>
      </c>
      <c r="D4" s="4" t="s">
        <v>2991</v>
      </c>
      <c r="E4" s="4" t="s">
        <v>2992</v>
      </c>
      <c r="F4" s="4" t="s">
        <v>2993</v>
      </c>
      <c r="G4" s="4" t="s">
        <v>2994</v>
      </c>
      <c r="H4" s="4" t="s">
        <v>2995</v>
      </c>
    </row>
    <row r="5" customFormat="false" ht="26.25" hidden="false" customHeight="true" outlineLevel="0" collapsed="false">
      <c r="A5" s="46" t="s">
        <v>2996</v>
      </c>
      <c r="B5" s="46" t="s">
        <v>2997</v>
      </c>
      <c r="C5" s="24" t="n">
        <v>1</v>
      </c>
      <c r="D5" s="24" t="n">
        <v>1</v>
      </c>
      <c r="E5" s="46" t="s">
        <v>2998</v>
      </c>
      <c r="F5" s="6" t="s">
        <v>2999</v>
      </c>
      <c r="G5" s="6" t="s">
        <v>2999</v>
      </c>
      <c r="H5" s="6" t="s">
        <v>3000</v>
      </c>
    </row>
    <row r="6" customFormat="false" ht="26.25" hidden="false" customHeight="true" outlineLevel="0" collapsed="false">
      <c r="A6" s="46" t="s">
        <v>3001</v>
      </c>
      <c r="B6" s="46" t="s">
        <v>3002</v>
      </c>
      <c r="C6" s="24" t="n">
        <v>2</v>
      </c>
      <c r="D6" s="24" t="n">
        <v>2</v>
      </c>
      <c r="E6" s="46" t="s">
        <v>3003</v>
      </c>
      <c r="F6" s="6" t="s">
        <v>2999</v>
      </c>
      <c r="G6" s="6" t="s">
        <v>2999</v>
      </c>
      <c r="H6" s="6" t="s">
        <v>3004</v>
      </c>
    </row>
    <row r="7" customFormat="false" ht="26.25" hidden="false" customHeight="true" outlineLevel="0" collapsed="false">
      <c r="A7" s="46" t="s">
        <v>3005</v>
      </c>
      <c r="B7" s="46" t="s">
        <v>3006</v>
      </c>
      <c r="C7" s="24" t="n">
        <v>3</v>
      </c>
      <c r="D7" s="24" t="n">
        <v>3</v>
      </c>
      <c r="E7" s="46" t="s">
        <v>3007</v>
      </c>
      <c r="F7" s="6" t="s">
        <v>2999</v>
      </c>
      <c r="G7" s="6" t="s">
        <v>3008</v>
      </c>
      <c r="H7" s="6" t="s">
        <v>3009</v>
      </c>
    </row>
    <row r="8" customFormat="false" ht="26.25" hidden="false" customHeight="true" outlineLevel="0" collapsed="false">
      <c r="A8" s="46" t="s">
        <v>3010</v>
      </c>
      <c r="B8" s="46" t="s">
        <v>3011</v>
      </c>
      <c r="C8" s="24" t="n">
        <v>4</v>
      </c>
      <c r="D8" s="24" t="n">
        <v>4</v>
      </c>
      <c r="E8" s="46" t="s">
        <v>3012</v>
      </c>
      <c r="F8" s="6" t="s">
        <v>3013</v>
      </c>
      <c r="G8" s="6" t="s">
        <v>2999</v>
      </c>
      <c r="H8" s="6" t="s">
        <v>3014</v>
      </c>
    </row>
    <row r="9" customFormat="false" ht="26.25" hidden="false" customHeight="true" outlineLevel="0" collapsed="false">
      <c r="A9" s="46" t="s">
        <v>3015</v>
      </c>
      <c r="B9" s="46" t="s">
        <v>3016</v>
      </c>
      <c r="C9" s="24" t="n">
        <v>3</v>
      </c>
      <c r="D9" s="24" t="n">
        <v>3</v>
      </c>
      <c r="E9" s="46" t="s">
        <v>3017</v>
      </c>
      <c r="F9" s="6" t="s">
        <v>3018</v>
      </c>
      <c r="G9" s="6" t="s">
        <v>3019</v>
      </c>
      <c r="H9" s="6" t="s">
        <v>3020</v>
      </c>
    </row>
    <row r="10" customFormat="false" ht="26.25" hidden="false" customHeight="true" outlineLevel="0" collapsed="false">
      <c r="A10" s="46" t="s">
        <v>3021</v>
      </c>
      <c r="B10" s="46" t="s">
        <v>3022</v>
      </c>
      <c r="C10" s="24" t="n">
        <v>4</v>
      </c>
      <c r="D10" s="24" t="n">
        <v>4</v>
      </c>
      <c r="E10" s="46" t="s">
        <v>3023</v>
      </c>
      <c r="F10" s="6" t="s">
        <v>2999</v>
      </c>
      <c r="G10" s="6" t="s">
        <v>2999</v>
      </c>
      <c r="H10" s="6" t="s">
        <v>3024</v>
      </c>
    </row>
    <row r="11" customFormat="false" ht="26.25" hidden="false" customHeight="true" outlineLevel="0" collapsed="false">
      <c r="A11" s="46" t="s">
        <v>3025</v>
      </c>
      <c r="B11" s="46" t="s">
        <v>3026</v>
      </c>
      <c r="C11" s="24" t="n">
        <v>5</v>
      </c>
      <c r="D11" s="24" t="n">
        <v>5</v>
      </c>
      <c r="E11" s="46" t="s">
        <v>3027</v>
      </c>
      <c r="F11" s="6" t="s">
        <v>3028</v>
      </c>
      <c r="G11" s="6" t="s">
        <v>2999</v>
      </c>
      <c r="H11" s="6" t="s">
        <v>3029</v>
      </c>
    </row>
    <row r="12" customFormat="false" ht="26.25" hidden="false" customHeight="true" outlineLevel="0" collapsed="false">
      <c r="A12" s="46" t="s">
        <v>3030</v>
      </c>
      <c r="B12" s="46" t="s">
        <v>3031</v>
      </c>
      <c r="C12" s="24" t="n">
        <v>6</v>
      </c>
      <c r="D12" s="24" t="n">
        <v>6</v>
      </c>
      <c r="E12" s="46" t="s">
        <v>3032</v>
      </c>
      <c r="F12" s="6" t="s">
        <v>3013</v>
      </c>
      <c r="G12" s="6" t="s">
        <v>3019</v>
      </c>
      <c r="H12" s="6" t="s">
        <v>3033</v>
      </c>
    </row>
    <row r="13" customFormat="false" ht="26.25" hidden="false" customHeight="true" outlineLevel="0" collapsed="false">
      <c r="A13" s="46" t="s">
        <v>3034</v>
      </c>
      <c r="B13" s="46" t="s">
        <v>3035</v>
      </c>
      <c r="C13" s="24" t="n">
        <v>5</v>
      </c>
      <c r="D13" s="24" t="n">
        <v>5</v>
      </c>
      <c r="E13" s="46" t="s">
        <v>3036</v>
      </c>
      <c r="F13" s="6" t="s">
        <v>440</v>
      </c>
      <c r="G13" s="6" t="s">
        <v>3019</v>
      </c>
      <c r="H13" s="6" t="s">
        <v>3037</v>
      </c>
    </row>
    <row r="14" customFormat="false" ht="26.25" hidden="false" customHeight="true" outlineLevel="0" collapsed="false">
      <c r="A14" s="46" t="s">
        <v>3038</v>
      </c>
      <c r="B14" s="46" t="s">
        <v>3039</v>
      </c>
      <c r="C14" s="24" t="n">
        <v>6</v>
      </c>
      <c r="D14" s="24" t="n">
        <v>6</v>
      </c>
      <c r="E14" s="46" t="s">
        <v>3040</v>
      </c>
      <c r="F14" s="6" t="s">
        <v>440</v>
      </c>
      <c r="G14" s="6" t="s">
        <v>3019</v>
      </c>
      <c r="H14" s="6" t="s">
        <v>3041</v>
      </c>
    </row>
  </sheetData>
  <autoFilter ref="A4:H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84"/>
    <col collapsed="false" customWidth="true" hidden="false" outlineLevel="0" max="4" min="4" style="1" width="52"/>
  </cols>
  <sheetData>
    <row r="1" customFormat="false" ht="17.25" hidden="false" customHeight="true" outlineLevel="0" collapsed="false">
      <c r="A1" s="45" t="s">
        <v>2601</v>
      </c>
    </row>
    <row r="2" customFormat="false" ht="15" hidden="false" customHeight="true" outlineLevel="0" collapsed="false">
      <c r="A2" s="16" t="s">
        <v>3042</v>
      </c>
    </row>
    <row r="4" customFormat="false" ht="15" hidden="false" customHeight="true" outlineLevel="0" collapsed="false">
      <c r="A4" s="4" t="s">
        <v>2727</v>
      </c>
      <c r="B4" s="4" t="s">
        <v>2989</v>
      </c>
      <c r="C4" s="4" t="s">
        <v>3043</v>
      </c>
      <c r="D4" s="4" t="s">
        <v>2797</v>
      </c>
    </row>
    <row r="5" customFormat="false" ht="51.75" hidden="false" customHeight="true" outlineLevel="0" collapsed="false">
      <c r="A5" s="46" t="s">
        <v>3044</v>
      </c>
      <c r="B5" s="46" t="s">
        <v>3045</v>
      </c>
      <c r="C5" s="6" t="s">
        <v>3046</v>
      </c>
      <c r="D5" s="6" t="s">
        <v>3047</v>
      </c>
    </row>
    <row r="6" customFormat="false" ht="51.75" hidden="false" customHeight="true" outlineLevel="0" collapsed="false">
      <c r="A6" s="46" t="s">
        <v>3048</v>
      </c>
      <c r="B6" s="46" t="s">
        <v>3049</v>
      </c>
      <c r="C6" s="6" t="s">
        <v>3050</v>
      </c>
      <c r="D6" s="6" t="s">
        <v>3051</v>
      </c>
    </row>
    <row r="7" customFormat="false" ht="26.25" hidden="false" customHeight="true" outlineLevel="0" collapsed="false">
      <c r="A7" s="46" t="s">
        <v>3052</v>
      </c>
      <c r="B7" s="46" t="s">
        <v>3053</v>
      </c>
      <c r="C7" s="6" t="s">
        <v>3054</v>
      </c>
      <c r="D7" s="6" t="s">
        <v>3055</v>
      </c>
    </row>
    <row r="8" customFormat="false" ht="51.75" hidden="false" customHeight="true" outlineLevel="0" collapsed="false">
      <c r="A8" s="46" t="s">
        <v>3056</v>
      </c>
      <c r="B8" s="46" t="s">
        <v>3057</v>
      </c>
      <c r="C8" s="6" t="s">
        <v>3058</v>
      </c>
      <c r="D8" s="6" t="s">
        <v>3059</v>
      </c>
    </row>
    <row r="9" customFormat="false" ht="39" hidden="false" customHeight="true" outlineLevel="0" collapsed="false">
      <c r="A9" s="46" t="s">
        <v>3060</v>
      </c>
      <c r="B9" s="46" t="s">
        <v>3061</v>
      </c>
      <c r="C9" s="6" t="s">
        <v>3062</v>
      </c>
      <c r="D9" s="6" t="s">
        <v>3063</v>
      </c>
    </row>
    <row r="10" customFormat="false" ht="64.5" hidden="false" customHeight="true" outlineLevel="0" collapsed="false">
      <c r="A10" s="46" t="s">
        <v>3064</v>
      </c>
      <c r="B10" s="46" t="s">
        <v>3065</v>
      </c>
      <c r="C10" s="6" t="s">
        <v>3066</v>
      </c>
      <c r="D10" s="6" t="s">
        <v>3067</v>
      </c>
    </row>
    <row r="11" customFormat="false" ht="39" hidden="false" customHeight="true" outlineLevel="0" collapsed="false">
      <c r="A11" s="46" t="s">
        <v>3068</v>
      </c>
      <c r="B11" s="46" t="s">
        <v>3069</v>
      </c>
      <c r="C11" s="6" t="s">
        <v>3070</v>
      </c>
      <c r="D11" s="6" t="s">
        <v>3071</v>
      </c>
    </row>
  </sheetData>
  <autoFilter ref="A4: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34"/>
    <col collapsed="false" customWidth="true" hidden="false" outlineLevel="0" max="4" min="4" style="1" width="52"/>
  </cols>
  <sheetData>
    <row r="1" customFormat="false" ht="17.25" hidden="false" customHeight="true" outlineLevel="0" collapsed="false">
      <c r="A1" s="15" t="s">
        <v>3072</v>
      </c>
    </row>
    <row r="2" customFormat="false" ht="15" hidden="false" customHeight="true" outlineLevel="0" collapsed="false">
      <c r="A2" s="16" t="s">
        <v>3073</v>
      </c>
    </row>
    <row r="4" customFormat="false" ht="26.25" hidden="false" customHeight="true" outlineLevel="0" collapsed="false">
      <c r="A4" s="4" t="s">
        <v>3074</v>
      </c>
      <c r="B4" s="4" t="s">
        <v>3075</v>
      </c>
      <c r="C4" s="4" t="s">
        <v>3076</v>
      </c>
      <c r="D4" s="4" t="s">
        <v>2872</v>
      </c>
    </row>
    <row r="5" customFormat="false" ht="15" hidden="false" customHeight="true" outlineLevel="0" collapsed="false">
      <c r="A5" s="24" t="n">
        <v>2</v>
      </c>
      <c r="B5" s="6" t="s">
        <v>3077</v>
      </c>
      <c r="C5" s="6" t="s">
        <v>3003</v>
      </c>
      <c r="D5" s="6" t="s">
        <v>3078</v>
      </c>
    </row>
    <row r="6" customFormat="false" ht="26.25" hidden="false" customHeight="true" outlineLevel="0" collapsed="false">
      <c r="A6" s="24" t="n">
        <v>3</v>
      </c>
      <c r="B6" s="6" t="s">
        <v>3077</v>
      </c>
      <c r="C6" s="6" t="s">
        <v>3007</v>
      </c>
      <c r="D6" s="6" t="s">
        <v>3079</v>
      </c>
    </row>
    <row r="7" customFormat="false" ht="26.25" hidden="false" customHeight="true" outlineLevel="0" collapsed="false">
      <c r="A7" s="24" t="n">
        <v>3</v>
      </c>
      <c r="B7" s="6" t="s">
        <v>3080</v>
      </c>
      <c r="C7" s="6" t="s">
        <v>3081</v>
      </c>
      <c r="D7" s="6" t="s">
        <v>3082</v>
      </c>
    </row>
    <row r="8" customFormat="false" ht="26.25" hidden="false" customHeight="true" outlineLevel="0" collapsed="false">
      <c r="A8" s="24" t="n">
        <v>3</v>
      </c>
      <c r="B8" s="6" t="s">
        <v>3083</v>
      </c>
      <c r="C8" s="6" t="s">
        <v>3084</v>
      </c>
      <c r="D8" s="6" t="s">
        <v>3085</v>
      </c>
    </row>
    <row r="9" customFormat="false" ht="15" hidden="false" customHeight="true" outlineLevel="0" collapsed="false">
      <c r="A9" s="24" t="n">
        <v>3</v>
      </c>
      <c r="B9" s="6" t="s">
        <v>3086</v>
      </c>
      <c r="C9" s="6" t="s">
        <v>3087</v>
      </c>
      <c r="D9" s="6" t="s">
        <v>3088</v>
      </c>
    </row>
    <row r="10" customFormat="false" ht="15" hidden="false" customHeight="true" outlineLevel="0" collapsed="false">
      <c r="A10" s="24" t="n">
        <v>4</v>
      </c>
      <c r="B10" s="6" t="s">
        <v>3077</v>
      </c>
      <c r="C10" s="6" t="s">
        <v>3023</v>
      </c>
      <c r="D10" s="6" t="s">
        <v>3089</v>
      </c>
    </row>
    <row r="11" customFormat="false" ht="26.25" hidden="false" customHeight="true" outlineLevel="0" collapsed="false">
      <c r="A11" s="24" t="n">
        <v>4</v>
      </c>
      <c r="B11" s="6" t="s">
        <v>3080</v>
      </c>
      <c r="C11" s="6" t="s">
        <v>3090</v>
      </c>
      <c r="D11" s="6" t="s">
        <v>3091</v>
      </c>
    </row>
    <row r="12" customFormat="false" ht="15" hidden="false" customHeight="true" outlineLevel="0" collapsed="false">
      <c r="A12" s="24" t="n">
        <v>4</v>
      </c>
      <c r="B12" s="6" t="s">
        <v>3083</v>
      </c>
      <c r="C12" s="6" t="s">
        <v>3092</v>
      </c>
      <c r="D12" s="6" t="s">
        <v>3093</v>
      </c>
    </row>
    <row r="13" customFormat="false" ht="26.25" hidden="false" customHeight="true" outlineLevel="0" collapsed="false">
      <c r="A13" s="24" t="n">
        <v>4</v>
      </c>
      <c r="B13" s="6" t="s">
        <v>3094</v>
      </c>
      <c r="C13" s="6" t="s">
        <v>3095</v>
      </c>
      <c r="D13" s="6" t="s">
        <v>3096</v>
      </c>
    </row>
    <row r="14" customFormat="false" ht="15" hidden="false" customHeight="true" outlineLevel="0" collapsed="false">
      <c r="A14" s="24" t="n">
        <v>5</v>
      </c>
      <c r="B14" s="6" t="s">
        <v>3077</v>
      </c>
      <c r="C14" s="6" t="s">
        <v>3036</v>
      </c>
      <c r="D14" s="6" t="s">
        <v>3097</v>
      </c>
    </row>
    <row r="15" customFormat="false" ht="15" hidden="false" customHeight="true" outlineLevel="0" collapsed="false">
      <c r="A15" s="24" t="n">
        <v>5</v>
      </c>
      <c r="B15" s="6" t="s">
        <v>3080</v>
      </c>
      <c r="C15" s="6" t="s">
        <v>3098</v>
      </c>
      <c r="D15" s="6" t="s">
        <v>3099</v>
      </c>
    </row>
    <row r="16" customFormat="false" ht="15" hidden="false" customHeight="true" outlineLevel="0" collapsed="false">
      <c r="A16" s="24" t="n">
        <v>5</v>
      </c>
      <c r="B16" s="6" t="s">
        <v>3100</v>
      </c>
      <c r="C16" s="6" t="s">
        <v>3101</v>
      </c>
      <c r="D16" s="6" t="s">
        <v>3102</v>
      </c>
    </row>
    <row r="17" customFormat="false" ht="15" hidden="false" customHeight="true" outlineLevel="0" collapsed="false">
      <c r="A17" s="24" t="n">
        <v>6</v>
      </c>
      <c r="B17" s="6" t="s">
        <v>3077</v>
      </c>
      <c r="C17" s="6" t="s">
        <v>3040</v>
      </c>
      <c r="D17" s="6" t="s">
        <v>3103</v>
      </c>
    </row>
    <row r="18" customFormat="false" ht="26.25" hidden="false" customHeight="true" outlineLevel="0" collapsed="false">
      <c r="A18" s="24" t="n">
        <v>6</v>
      </c>
      <c r="B18" s="6" t="s">
        <v>3080</v>
      </c>
      <c r="C18" s="6" t="s">
        <v>3104</v>
      </c>
      <c r="D18" s="6" t="s">
        <v>3105</v>
      </c>
    </row>
  </sheetData>
  <autoFilter ref="A4:D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36"/>
    <col collapsed="false" customWidth="true" hidden="false" outlineLevel="0" max="4" min="4" style="1" width="10"/>
    <col collapsed="false" customWidth="true" hidden="false" outlineLevel="0" max="5" min="5" style="1" width="66"/>
  </cols>
  <sheetData>
    <row r="1" customFormat="false" ht="17.25" hidden="false" customHeight="true" outlineLevel="0" collapsed="false">
      <c r="A1" s="45" t="s">
        <v>3106</v>
      </c>
    </row>
    <row r="2" customFormat="false" ht="15" hidden="false" customHeight="true" outlineLevel="0" collapsed="false">
      <c r="A2" s="16" t="s">
        <v>3107</v>
      </c>
    </row>
    <row r="4" customFormat="false" ht="26.25" hidden="false" customHeight="true" outlineLevel="0" collapsed="false">
      <c r="A4" s="4" t="s">
        <v>3074</v>
      </c>
      <c r="B4" s="4" t="s">
        <v>2994</v>
      </c>
      <c r="C4" s="4" t="s">
        <v>2647</v>
      </c>
      <c r="D4" s="4" t="s">
        <v>2988</v>
      </c>
      <c r="E4" s="4" t="s">
        <v>3108</v>
      </c>
    </row>
    <row r="5" customFormat="false" ht="15" hidden="false" customHeight="true" outlineLevel="0" collapsed="false">
      <c r="A5" s="24" t="n">
        <v>1</v>
      </c>
      <c r="B5" s="46" t="s">
        <v>2999</v>
      </c>
      <c r="C5" s="46" t="s">
        <v>2999</v>
      </c>
      <c r="D5" s="24" t="s">
        <v>2996</v>
      </c>
      <c r="E5" s="6" t="s">
        <v>3109</v>
      </c>
    </row>
    <row r="6" customFormat="false" ht="15" hidden="false" customHeight="true" outlineLevel="0" collapsed="false">
      <c r="A6" s="24" t="n">
        <v>2</v>
      </c>
      <c r="B6" s="46" t="s">
        <v>2999</v>
      </c>
      <c r="C6" s="46" t="s">
        <v>2999</v>
      </c>
      <c r="D6" s="24" t="s">
        <v>3001</v>
      </c>
      <c r="E6" s="6" t="s">
        <v>3110</v>
      </c>
    </row>
    <row r="7" customFormat="false" ht="15" hidden="false" customHeight="true" outlineLevel="0" collapsed="false">
      <c r="A7" s="24" t="n">
        <v>3</v>
      </c>
      <c r="B7" s="46" t="s">
        <v>53</v>
      </c>
      <c r="C7" s="46" t="s">
        <v>2999</v>
      </c>
      <c r="D7" s="24" t="s">
        <v>3005</v>
      </c>
      <c r="E7" s="6" t="s">
        <v>3111</v>
      </c>
    </row>
    <row r="8" customFormat="false" ht="15" hidden="false" customHeight="true" outlineLevel="0" collapsed="false">
      <c r="A8" s="24" t="n">
        <v>3</v>
      </c>
      <c r="B8" s="46" t="s">
        <v>3019</v>
      </c>
      <c r="C8" s="46" t="s">
        <v>3112</v>
      </c>
      <c r="D8" s="24" t="s">
        <v>3005</v>
      </c>
      <c r="E8" s="6" t="s">
        <v>3113</v>
      </c>
    </row>
    <row r="9" customFormat="false" ht="15" hidden="false" customHeight="true" outlineLevel="0" collapsed="false">
      <c r="A9" s="24" t="n">
        <v>3</v>
      </c>
      <c r="B9" s="46" t="s">
        <v>3019</v>
      </c>
      <c r="C9" s="46" t="s">
        <v>440</v>
      </c>
      <c r="D9" s="24" t="s">
        <v>3005</v>
      </c>
      <c r="E9" s="6" t="s">
        <v>3114</v>
      </c>
    </row>
    <row r="10" customFormat="false" ht="26.25" hidden="false" customHeight="true" outlineLevel="0" collapsed="false">
      <c r="A10" s="24" t="n">
        <v>4</v>
      </c>
      <c r="B10" s="46" t="s">
        <v>2999</v>
      </c>
      <c r="C10" s="46" t="s">
        <v>924</v>
      </c>
      <c r="D10" s="24" t="s">
        <v>3010</v>
      </c>
      <c r="E10" s="6" t="s">
        <v>3115</v>
      </c>
    </row>
    <row r="11" customFormat="false" ht="15" hidden="false" customHeight="true" outlineLevel="0" collapsed="false">
      <c r="A11" s="24" t="n">
        <v>4</v>
      </c>
      <c r="B11" s="46" t="s">
        <v>2999</v>
      </c>
      <c r="C11" s="46" t="s">
        <v>3116</v>
      </c>
      <c r="D11" s="24" t="s">
        <v>3021</v>
      </c>
      <c r="E11" s="6" t="s">
        <v>3117</v>
      </c>
    </row>
    <row r="12" customFormat="false" ht="15" hidden="false" customHeight="true" outlineLevel="0" collapsed="false">
      <c r="A12" s="24" t="n">
        <v>5</v>
      </c>
      <c r="B12" s="46" t="s">
        <v>53</v>
      </c>
      <c r="C12" s="46" t="s">
        <v>2999</v>
      </c>
      <c r="D12" s="24" t="s">
        <v>3025</v>
      </c>
      <c r="E12" s="6" t="s">
        <v>3118</v>
      </c>
    </row>
    <row r="13" customFormat="false" ht="15" hidden="false" customHeight="true" outlineLevel="0" collapsed="false">
      <c r="A13" s="24" t="n">
        <v>5</v>
      </c>
      <c r="B13" s="46" t="s">
        <v>3019</v>
      </c>
      <c r="C13" s="46" t="s">
        <v>440</v>
      </c>
      <c r="D13" s="24" t="s">
        <v>3034</v>
      </c>
      <c r="E13" s="6" t="s">
        <v>3119</v>
      </c>
    </row>
    <row r="14" customFormat="false" ht="15" hidden="false" customHeight="true" outlineLevel="0" collapsed="false">
      <c r="A14" s="24" t="n">
        <v>5</v>
      </c>
      <c r="B14" s="46" t="s">
        <v>3019</v>
      </c>
      <c r="C14" s="46" t="s">
        <v>3112</v>
      </c>
      <c r="D14" s="24" t="s">
        <v>3025</v>
      </c>
      <c r="E14" s="6" t="s">
        <v>3120</v>
      </c>
    </row>
    <row r="15" customFormat="false" ht="15" hidden="false" customHeight="true" outlineLevel="0" collapsed="false">
      <c r="A15" s="24" t="n">
        <v>6</v>
      </c>
      <c r="B15" s="46" t="s">
        <v>53</v>
      </c>
      <c r="C15" s="46" t="s">
        <v>2999</v>
      </c>
      <c r="D15" s="24" t="s">
        <v>3010</v>
      </c>
      <c r="E15" s="6" t="s">
        <v>3121</v>
      </c>
    </row>
    <row r="16" customFormat="false" ht="15" hidden="false" customHeight="true" outlineLevel="0" collapsed="false">
      <c r="A16" s="24" t="n">
        <v>6</v>
      </c>
      <c r="B16" s="46" t="s">
        <v>3019</v>
      </c>
      <c r="C16" s="46" t="s">
        <v>440</v>
      </c>
      <c r="D16" s="24" t="s">
        <v>3038</v>
      </c>
      <c r="E16" s="6" t="s">
        <v>3122</v>
      </c>
    </row>
    <row r="17" customFormat="false" ht="15" hidden="false" customHeight="true" outlineLevel="0" collapsed="false">
      <c r="A17" s="24" t="n">
        <v>6</v>
      </c>
      <c r="B17" s="46" t="s">
        <v>3019</v>
      </c>
      <c r="C17" s="46" t="s">
        <v>3112</v>
      </c>
      <c r="D17" s="24" t="s">
        <v>3030</v>
      </c>
      <c r="E17" s="6" t="s">
        <v>3123</v>
      </c>
    </row>
  </sheetData>
  <autoFilter ref="A4:E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40"/>
    <col collapsed="false" customWidth="true" hidden="false" outlineLevel="0" max="4" min="4" style="1" width="54"/>
    <col collapsed="false" customWidth="true" hidden="false" outlineLevel="0" max="5" min="5" style="1" width="44"/>
  </cols>
  <sheetData>
    <row r="1" customFormat="false" ht="17.25" hidden="false" customHeight="true" outlineLevel="0" collapsed="false">
      <c r="A1" s="45" t="s">
        <v>3124</v>
      </c>
    </row>
    <row r="2" customFormat="false" ht="15" hidden="false" customHeight="true" outlineLevel="0" collapsed="false">
      <c r="A2" s="16" t="s">
        <v>3125</v>
      </c>
    </row>
    <row r="4" customFormat="false" ht="15" hidden="false" customHeight="true" outlineLevel="0" collapsed="false">
      <c r="A4" s="4" t="s">
        <v>2727</v>
      </c>
      <c r="B4" s="4" t="s">
        <v>3126</v>
      </c>
      <c r="C4" s="4" t="s">
        <v>3127</v>
      </c>
      <c r="D4" s="4" t="s">
        <v>2730</v>
      </c>
      <c r="E4" s="4" t="s">
        <v>3128</v>
      </c>
    </row>
    <row r="5" customFormat="false" ht="39" hidden="false" customHeight="true" outlineLevel="0" collapsed="false">
      <c r="A5" s="46" t="s">
        <v>3129</v>
      </c>
      <c r="B5" s="46" t="s">
        <v>3130</v>
      </c>
      <c r="C5" s="6" t="s">
        <v>3131</v>
      </c>
      <c r="D5" s="6" t="s">
        <v>3132</v>
      </c>
      <c r="E5" s="6" t="s">
        <v>3133</v>
      </c>
    </row>
    <row r="6" customFormat="false" ht="39" hidden="false" customHeight="true" outlineLevel="0" collapsed="false">
      <c r="A6" s="46" t="s">
        <v>3134</v>
      </c>
      <c r="B6" s="46" t="s">
        <v>3135</v>
      </c>
      <c r="C6" s="6" t="s">
        <v>3136</v>
      </c>
      <c r="D6" s="6" t="s">
        <v>3137</v>
      </c>
      <c r="E6" s="6" t="s">
        <v>3138</v>
      </c>
    </row>
    <row r="7" customFormat="false" ht="39" hidden="false" customHeight="true" outlineLevel="0" collapsed="false">
      <c r="A7" s="46" t="s">
        <v>3139</v>
      </c>
      <c r="B7" s="46" t="s">
        <v>3140</v>
      </c>
      <c r="C7" s="6" t="s">
        <v>3141</v>
      </c>
      <c r="D7" s="6" t="s">
        <v>3142</v>
      </c>
      <c r="E7" s="6" t="s">
        <v>3143</v>
      </c>
    </row>
    <row r="8" customFormat="false" ht="39" hidden="false" customHeight="true" outlineLevel="0" collapsed="false">
      <c r="A8" s="46" t="s">
        <v>3144</v>
      </c>
      <c r="B8" s="46" t="s">
        <v>3145</v>
      </c>
      <c r="C8" s="6" t="s">
        <v>3146</v>
      </c>
      <c r="D8" s="6" t="s">
        <v>3147</v>
      </c>
      <c r="E8" s="6" t="s">
        <v>3148</v>
      </c>
    </row>
    <row r="9" customFormat="false" ht="39" hidden="false" customHeight="true" outlineLevel="0" collapsed="false">
      <c r="A9" s="46" t="s">
        <v>3149</v>
      </c>
      <c r="B9" s="46" t="s">
        <v>3150</v>
      </c>
      <c r="C9" s="6" t="s">
        <v>3151</v>
      </c>
      <c r="D9" s="6" t="s">
        <v>3152</v>
      </c>
      <c r="E9" s="6" t="s">
        <v>3153</v>
      </c>
    </row>
    <row r="10" customFormat="false" ht="39" hidden="false" customHeight="true" outlineLevel="0" collapsed="false">
      <c r="A10" s="46" t="s">
        <v>3154</v>
      </c>
      <c r="B10" s="46" t="s">
        <v>3155</v>
      </c>
      <c r="C10" s="6" t="s">
        <v>3156</v>
      </c>
      <c r="D10" s="6" t="s">
        <v>3157</v>
      </c>
      <c r="E10" s="6" t="s">
        <v>3158</v>
      </c>
    </row>
    <row r="11" customFormat="false" ht="39" hidden="false" customHeight="true" outlineLevel="0" collapsed="false">
      <c r="A11" s="46" t="s">
        <v>3159</v>
      </c>
      <c r="B11" s="46" t="s">
        <v>3160</v>
      </c>
      <c r="C11" s="6" t="s">
        <v>3161</v>
      </c>
      <c r="D11" s="6" t="s">
        <v>3162</v>
      </c>
      <c r="E11" s="6" t="s">
        <v>3163</v>
      </c>
    </row>
    <row r="12" customFormat="false" ht="39" hidden="false" customHeight="true" outlineLevel="0" collapsed="false">
      <c r="A12" s="46" t="s">
        <v>3164</v>
      </c>
      <c r="B12" s="46" t="s">
        <v>3165</v>
      </c>
      <c r="C12" s="6" t="s">
        <v>3166</v>
      </c>
      <c r="D12" s="6" t="s">
        <v>3167</v>
      </c>
      <c r="E12" s="6" t="s">
        <v>3168</v>
      </c>
    </row>
    <row r="13" customFormat="false" ht="39" hidden="false" customHeight="true" outlineLevel="0" collapsed="false">
      <c r="A13" s="46" t="s">
        <v>3169</v>
      </c>
      <c r="B13" s="46" t="s">
        <v>3170</v>
      </c>
      <c r="C13" s="6" t="s">
        <v>3171</v>
      </c>
      <c r="D13" s="6" t="s">
        <v>3172</v>
      </c>
      <c r="E13" s="6" t="s">
        <v>3173</v>
      </c>
    </row>
  </sheetData>
  <autoFilter ref="A4:E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28"/>
    <col collapsed="false" customWidth="true" hidden="false" outlineLevel="0" max="3" min="3" style="1" width="30"/>
    <col collapsed="false" customWidth="true" hidden="false" outlineLevel="0" max="4" min="4" style="1" width="24"/>
    <col collapsed="false" customWidth="true" hidden="false" outlineLevel="0" max="6" min="5" style="1" width="10"/>
    <col collapsed="false" customWidth="true" hidden="false" outlineLevel="0" max="7" min="7" style="1" width="11"/>
    <col collapsed="false" customWidth="true" hidden="false" outlineLevel="0" max="9" min="8" style="1" width="10"/>
    <col collapsed="false" customWidth="true" hidden="false" outlineLevel="0" max="10" min="10" style="1" width="52"/>
  </cols>
  <sheetData>
    <row r="1" customFormat="false" ht="17.25" hidden="false" customHeight="true" outlineLevel="0" collapsed="false">
      <c r="A1" s="45" t="s">
        <v>2597</v>
      </c>
    </row>
    <row r="2" customFormat="false" ht="15" hidden="false" customHeight="true" outlineLevel="0" collapsed="false">
      <c r="A2" s="16" t="s">
        <v>3174</v>
      </c>
    </row>
    <row r="4" customFormat="false" ht="51.75" hidden="false" customHeight="true" outlineLevel="0" collapsed="false">
      <c r="A4" s="4" t="s">
        <v>3175</v>
      </c>
      <c r="B4" s="4" t="s">
        <v>3176</v>
      </c>
      <c r="C4" s="4" t="s">
        <v>3177</v>
      </c>
      <c r="D4" s="4" t="s">
        <v>3178</v>
      </c>
      <c r="E4" s="4" t="s">
        <v>3179</v>
      </c>
      <c r="F4" s="4" t="s">
        <v>3180</v>
      </c>
      <c r="G4" s="4" t="s">
        <v>3181</v>
      </c>
      <c r="H4" s="4" t="s">
        <v>3182</v>
      </c>
      <c r="I4" s="4" t="s">
        <v>3183</v>
      </c>
      <c r="J4" s="4" t="s">
        <v>3184</v>
      </c>
    </row>
    <row r="5" customFormat="false" ht="26.25" hidden="false" customHeight="true" outlineLevel="0" collapsed="false">
      <c r="A5" s="46" t="s">
        <v>3185</v>
      </c>
      <c r="B5" s="6" t="s">
        <v>3186</v>
      </c>
      <c r="C5" s="6" t="s">
        <v>3187</v>
      </c>
      <c r="D5" s="6" t="s">
        <v>3188</v>
      </c>
      <c r="E5" s="24" t="n">
        <v>2</v>
      </c>
      <c r="F5" s="24" t="n">
        <v>4</v>
      </c>
      <c r="G5" s="24" t="n">
        <v>24</v>
      </c>
      <c r="H5" s="24" t="n">
        <v>1</v>
      </c>
      <c r="I5" s="24" t="n">
        <v>0</v>
      </c>
      <c r="J5" s="6" t="s">
        <v>3189</v>
      </c>
    </row>
    <row r="6" customFormat="false" ht="26.25" hidden="false" customHeight="true" outlineLevel="0" collapsed="false">
      <c r="A6" s="46" t="s">
        <v>3190</v>
      </c>
      <c r="B6" s="6" t="s">
        <v>3191</v>
      </c>
      <c r="C6" s="6" t="s">
        <v>3192</v>
      </c>
      <c r="D6" s="6" t="s">
        <v>3188</v>
      </c>
      <c r="E6" s="24" t="n">
        <v>3</v>
      </c>
      <c r="F6" s="24" t="n">
        <v>4</v>
      </c>
      <c r="G6" s="24" t="n">
        <v>24</v>
      </c>
      <c r="H6" s="24" t="n">
        <v>2</v>
      </c>
      <c r="I6" s="24" t="n">
        <v>1</v>
      </c>
      <c r="J6" s="6" t="s">
        <v>3193</v>
      </c>
    </row>
    <row r="7" customFormat="false" ht="26.25" hidden="false" customHeight="true" outlineLevel="0" collapsed="false">
      <c r="A7" s="46" t="s">
        <v>3194</v>
      </c>
      <c r="B7" s="6" t="s">
        <v>3195</v>
      </c>
      <c r="C7" s="6" t="s">
        <v>3187</v>
      </c>
      <c r="D7" s="6" t="s">
        <v>3188</v>
      </c>
      <c r="E7" s="24" t="n">
        <v>2</v>
      </c>
      <c r="F7" s="24" t="n">
        <v>4</v>
      </c>
      <c r="G7" s="24" t="n">
        <v>24</v>
      </c>
      <c r="H7" s="24" t="n">
        <v>1</v>
      </c>
      <c r="I7" s="24" t="n">
        <v>0</v>
      </c>
      <c r="J7" s="6" t="s">
        <v>3196</v>
      </c>
    </row>
    <row r="8" customFormat="false" ht="26.25" hidden="false" customHeight="true" outlineLevel="0" collapsed="false">
      <c r="A8" s="46" t="s">
        <v>3197</v>
      </c>
      <c r="B8" s="6" t="s">
        <v>3198</v>
      </c>
      <c r="C8" s="6" t="s">
        <v>3199</v>
      </c>
      <c r="D8" s="6" t="s">
        <v>3188</v>
      </c>
      <c r="E8" s="24" t="n">
        <v>2</v>
      </c>
      <c r="F8" s="24" t="n">
        <v>2</v>
      </c>
      <c r="G8" s="24" t="n">
        <v>24</v>
      </c>
      <c r="H8" s="24" t="n">
        <v>1</v>
      </c>
      <c r="I8" s="24" t="n">
        <v>0</v>
      </c>
      <c r="J8" s="6" t="s">
        <v>3200</v>
      </c>
    </row>
    <row r="9" customFormat="false" ht="26.25" hidden="false" customHeight="true" outlineLevel="0" collapsed="false">
      <c r="A9" s="46" t="s">
        <v>3201</v>
      </c>
      <c r="B9" s="6" t="s">
        <v>3202</v>
      </c>
      <c r="C9" s="6" t="s">
        <v>3203</v>
      </c>
      <c r="D9" s="6"/>
      <c r="E9" s="24" t="n">
        <v>0</v>
      </c>
      <c r="F9" s="24" t="n">
        <v>0</v>
      </c>
      <c r="G9" s="24" t="n">
        <v>0</v>
      </c>
      <c r="H9" s="24" t="n">
        <v>1</v>
      </c>
      <c r="I9" s="24" t="n">
        <v>0</v>
      </c>
      <c r="J9" s="6" t="s">
        <v>3204</v>
      </c>
    </row>
    <row r="10" customFormat="false" ht="26.25" hidden="false" customHeight="true" outlineLevel="0" collapsed="false">
      <c r="A10" s="46" t="s">
        <v>3205</v>
      </c>
      <c r="B10" s="6" t="s">
        <v>3206</v>
      </c>
      <c r="C10" s="6" t="s">
        <v>3207</v>
      </c>
      <c r="D10" s="6" t="s">
        <v>879</v>
      </c>
      <c r="E10" s="24" t="n">
        <v>0</v>
      </c>
      <c r="F10" s="24" t="n">
        <v>2</v>
      </c>
      <c r="G10" s="24" t="n">
        <v>0</v>
      </c>
      <c r="H10" s="24" t="n">
        <v>1</v>
      </c>
      <c r="I10" s="24" t="n">
        <v>0</v>
      </c>
      <c r="J10" s="6" t="s">
        <v>3208</v>
      </c>
    </row>
    <row r="11" customFormat="false" ht="51.75" hidden="false" customHeight="true" outlineLevel="0" collapsed="false">
      <c r="A11" s="46" t="s">
        <v>3209</v>
      </c>
      <c r="B11" s="6" t="s">
        <v>3210</v>
      </c>
      <c r="C11" s="6" t="s">
        <v>3211</v>
      </c>
      <c r="D11" s="6" t="s">
        <v>3212</v>
      </c>
      <c r="E11" s="24" t="n">
        <v>2</v>
      </c>
      <c r="F11" s="24" t="n">
        <v>4</v>
      </c>
      <c r="G11" s="24" t="n">
        <v>24</v>
      </c>
      <c r="H11" s="24" t="n">
        <v>0</v>
      </c>
      <c r="I11" s="24" t="n">
        <v>0</v>
      </c>
      <c r="J11" s="6" t="s">
        <v>3213</v>
      </c>
    </row>
    <row r="12" customFormat="false" ht="39" hidden="false" customHeight="true" outlineLevel="0" collapsed="false">
      <c r="A12" s="46" t="s">
        <v>3214</v>
      </c>
      <c r="B12" s="6" t="s">
        <v>3215</v>
      </c>
      <c r="C12" s="6" t="s">
        <v>3216</v>
      </c>
      <c r="D12" s="6" t="s">
        <v>3217</v>
      </c>
      <c r="E12" s="24" t="n">
        <v>2</v>
      </c>
      <c r="F12" s="24" t="n">
        <v>2</v>
      </c>
      <c r="G12" s="24" t="n">
        <v>0</v>
      </c>
      <c r="H12" s="24" t="n">
        <v>2</v>
      </c>
      <c r="I12" s="24" t="n">
        <v>1</v>
      </c>
      <c r="J12" s="6" t="s">
        <v>3218</v>
      </c>
    </row>
    <row r="13" customFormat="false" ht="26.25" hidden="false" customHeight="true" outlineLevel="0" collapsed="false">
      <c r="A13" s="46" t="s">
        <v>3219</v>
      </c>
      <c r="B13" s="6" t="s">
        <v>3220</v>
      </c>
      <c r="C13" s="6" t="s">
        <v>3221</v>
      </c>
      <c r="D13" s="6" t="s">
        <v>3188</v>
      </c>
      <c r="E13" s="24" t="n">
        <v>2</v>
      </c>
      <c r="F13" s="24" t="n">
        <v>2</v>
      </c>
      <c r="G13" s="24" t="n">
        <v>24</v>
      </c>
      <c r="H13" s="24" t="n">
        <v>1</v>
      </c>
      <c r="I13" s="24" t="n">
        <v>0</v>
      </c>
      <c r="J13" s="6" t="s">
        <v>3222</v>
      </c>
    </row>
    <row r="14" customFormat="false" ht="26.25" hidden="false" customHeight="true" outlineLevel="0" collapsed="false">
      <c r="A14" s="46" t="s">
        <v>3223</v>
      </c>
      <c r="B14" s="6" t="s">
        <v>3224</v>
      </c>
      <c r="C14" s="6" t="s">
        <v>3225</v>
      </c>
      <c r="D14" s="6"/>
      <c r="E14" s="24" t="n">
        <v>0</v>
      </c>
      <c r="F14" s="24" t="n">
        <v>0</v>
      </c>
      <c r="G14" s="24" t="n">
        <v>0</v>
      </c>
      <c r="H14" s="24" t="n">
        <v>0</v>
      </c>
      <c r="I14" s="24" t="n">
        <v>0</v>
      </c>
      <c r="J14" s="6" t="s">
        <v>3226</v>
      </c>
    </row>
    <row r="15" customFormat="false" ht="26.25" hidden="false" customHeight="true" outlineLevel="0" collapsed="false">
      <c r="A15" s="46" t="s">
        <v>3227</v>
      </c>
      <c r="B15" s="6" t="s">
        <v>3228</v>
      </c>
      <c r="C15" s="6" t="s">
        <v>3229</v>
      </c>
      <c r="D15" s="6"/>
      <c r="E15" s="24" t="n">
        <v>0</v>
      </c>
      <c r="F15" s="24" t="n">
        <v>0</v>
      </c>
      <c r="G15" s="24" t="n">
        <v>0</v>
      </c>
      <c r="H15" s="24" t="n">
        <v>0</v>
      </c>
      <c r="I15" s="24" t="n">
        <v>0</v>
      </c>
      <c r="J15" s="6" t="s">
        <v>3230</v>
      </c>
    </row>
    <row r="16" customFormat="false" ht="39" hidden="false" customHeight="true" outlineLevel="0" collapsed="false">
      <c r="A16" s="46" t="s">
        <v>3231</v>
      </c>
      <c r="B16" s="6" t="s">
        <v>3232</v>
      </c>
      <c r="C16" s="6" t="s">
        <v>3233</v>
      </c>
      <c r="D16" s="6" t="s">
        <v>3217</v>
      </c>
      <c r="E16" s="24" t="n">
        <v>0</v>
      </c>
      <c r="F16" s="24" t="n">
        <v>2</v>
      </c>
      <c r="G16" s="24" t="n">
        <v>24</v>
      </c>
      <c r="H16" s="24" t="n">
        <v>1</v>
      </c>
      <c r="I16" s="24" t="n">
        <v>0</v>
      </c>
      <c r="J16" s="6" t="s">
        <v>3234</v>
      </c>
    </row>
  </sheetData>
  <autoFilter ref="A4:J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7"/>
    <col collapsed="false" customWidth="true" hidden="false" outlineLevel="0" max="4" min="4" style="1" width="24"/>
    <col collapsed="false" customWidth="true" hidden="false" outlineLevel="0" max="5" min="5" style="1" width="26"/>
    <col collapsed="false" customWidth="true" hidden="false" outlineLevel="0" max="6" min="6" style="1" width="28"/>
    <col collapsed="false" customWidth="true" hidden="false" outlineLevel="0" max="7" min="7" style="1" width="22"/>
    <col collapsed="false" customWidth="true" hidden="false" outlineLevel="0" max="8" min="8" style="1" width="10"/>
    <col collapsed="false" customWidth="true" hidden="false" outlineLevel="0" max="9" min="9" style="1" width="48"/>
  </cols>
  <sheetData>
    <row r="1" customFormat="false" ht="17.25" hidden="false" customHeight="true" outlineLevel="0" collapsed="false">
      <c r="A1" s="45" t="s">
        <v>70</v>
      </c>
    </row>
    <row r="2" customFormat="false" ht="15" hidden="false" customHeight="true" outlineLevel="0" collapsed="false">
      <c r="A2" s="16" t="s">
        <v>3235</v>
      </c>
    </row>
    <row r="4" customFormat="false" ht="26.25" hidden="false" customHeight="true" outlineLevel="0" collapsed="false">
      <c r="A4" s="4" t="s">
        <v>3236</v>
      </c>
      <c r="B4" s="4" t="s">
        <v>3237</v>
      </c>
      <c r="C4" s="4" t="s">
        <v>3238</v>
      </c>
      <c r="D4" s="4" t="s">
        <v>3239</v>
      </c>
      <c r="E4" s="4" t="s">
        <v>3240</v>
      </c>
      <c r="F4" s="4" t="s">
        <v>3241</v>
      </c>
      <c r="G4" s="4" t="s">
        <v>3242</v>
      </c>
      <c r="H4" s="4" t="s">
        <v>16</v>
      </c>
      <c r="I4" s="4" t="s">
        <v>2872</v>
      </c>
    </row>
    <row r="5" customFormat="false" ht="15" hidden="false" customHeight="true" outlineLevel="0" collapsed="false">
      <c r="A5" s="46" t="s">
        <v>3243</v>
      </c>
      <c r="B5" s="46" t="s">
        <v>2998</v>
      </c>
      <c r="C5" s="24" t="n">
        <v>1</v>
      </c>
      <c r="D5" s="46" t="s">
        <v>3244</v>
      </c>
      <c r="E5" s="6" t="s">
        <v>879</v>
      </c>
      <c r="F5" s="6" t="s">
        <v>3245</v>
      </c>
      <c r="G5" s="6" t="s">
        <v>415</v>
      </c>
      <c r="H5" s="24" t="s">
        <v>419</v>
      </c>
      <c r="I5" s="6" t="s">
        <v>3246</v>
      </c>
    </row>
    <row r="6" customFormat="false" ht="26.25" hidden="false" customHeight="true" outlineLevel="0" collapsed="false">
      <c r="A6" s="46" t="s">
        <v>3247</v>
      </c>
      <c r="B6" s="46" t="s">
        <v>2998</v>
      </c>
      <c r="C6" s="24" t="n">
        <v>2</v>
      </c>
      <c r="D6" s="46" t="s">
        <v>3248</v>
      </c>
      <c r="E6" s="6" t="s">
        <v>411</v>
      </c>
      <c r="F6" s="6" t="s">
        <v>3249</v>
      </c>
      <c r="G6" s="6" t="s">
        <v>415</v>
      </c>
      <c r="H6" s="24" t="s">
        <v>419</v>
      </c>
      <c r="I6" s="6" t="s">
        <v>3250</v>
      </c>
    </row>
    <row r="7" customFormat="false" ht="15" hidden="false" customHeight="true" outlineLevel="0" collapsed="false">
      <c r="A7" s="46" t="s">
        <v>3251</v>
      </c>
      <c r="B7" s="46" t="s">
        <v>2998</v>
      </c>
      <c r="C7" s="24" t="n">
        <v>3</v>
      </c>
      <c r="D7" s="46" t="s">
        <v>3252</v>
      </c>
      <c r="E7" s="6" t="s">
        <v>594</v>
      </c>
      <c r="F7" s="6" t="s">
        <v>3253</v>
      </c>
      <c r="G7" s="6" t="s">
        <v>415</v>
      </c>
      <c r="H7" s="24" t="s">
        <v>419</v>
      </c>
      <c r="I7" s="6" t="s">
        <v>3254</v>
      </c>
    </row>
    <row r="8" customFormat="false" ht="15" hidden="false" customHeight="true" outlineLevel="0" collapsed="false">
      <c r="A8" s="46" t="s">
        <v>3255</v>
      </c>
      <c r="B8" s="46" t="s">
        <v>2998</v>
      </c>
      <c r="C8" s="24" t="n">
        <v>4</v>
      </c>
      <c r="D8" s="46" t="s">
        <v>596</v>
      </c>
      <c r="E8" s="6" t="s">
        <v>3256</v>
      </c>
      <c r="F8" s="6" t="s">
        <v>596</v>
      </c>
      <c r="G8" s="6" t="s">
        <v>415</v>
      </c>
      <c r="H8" s="24" t="s">
        <v>419</v>
      </c>
      <c r="I8" s="6" t="s">
        <v>3257</v>
      </c>
    </row>
    <row r="9" customFormat="false" ht="26.25" hidden="false" customHeight="true" outlineLevel="0" collapsed="false">
      <c r="A9" s="46" t="s">
        <v>3258</v>
      </c>
      <c r="B9" s="46" t="s">
        <v>2998</v>
      </c>
      <c r="C9" s="24" t="n">
        <v>5</v>
      </c>
      <c r="D9" s="46" t="s">
        <v>3259</v>
      </c>
      <c r="E9" s="6" t="s">
        <v>3260</v>
      </c>
      <c r="F9" s="6" t="s">
        <v>3261</v>
      </c>
      <c r="G9" s="6" t="s">
        <v>500</v>
      </c>
      <c r="H9" s="24" t="s">
        <v>3262</v>
      </c>
      <c r="I9" s="6" t="s">
        <v>3263</v>
      </c>
    </row>
    <row r="10" customFormat="false" ht="15" hidden="false" customHeight="true" outlineLevel="0" collapsed="false">
      <c r="A10" s="46" t="s">
        <v>3264</v>
      </c>
      <c r="B10" s="46" t="s">
        <v>2998</v>
      </c>
      <c r="C10" s="24" t="n">
        <v>6</v>
      </c>
      <c r="D10" s="46" t="s">
        <v>1377</v>
      </c>
      <c r="E10" s="6" t="s">
        <v>1377</v>
      </c>
      <c r="F10" s="6" t="s">
        <v>3261</v>
      </c>
      <c r="G10" s="6" t="s">
        <v>500</v>
      </c>
      <c r="H10" s="24" t="s">
        <v>419</v>
      </c>
      <c r="I10" s="6" t="s">
        <v>3265</v>
      </c>
    </row>
    <row r="11" customFormat="false" ht="15" hidden="false" customHeight="true" outlineLevel="0" collapsed="false">
      <c r="A11" s="46" t="s">
        <v>3266</v>
      </c>
      <c r="B11" s="46" t="s">
        <v>3267</v>
      </c>
      <c r="C11" s="24" t="n">
        <v>1</v>
      </c>
      <c r="D11" s="46" t="s">
        <v>3268</v>
      </c>
      <c r="E11" s="6" t="s">
        <v>411</v>
      </c>
      <c r="F11" s="6" t="s">
        <v>413</v>
      </c>
      <c r="G11" s="6" t="s">
        <v>415</v>
      </c>
      <c r="H11" s="24" t="s">
        <v>419</v>
      </c>
      <c r="I11" s="6" t="s">
        <v>3269</v>
      </c>
    </row>
    <row r="12" customFormat="false" ht="15" hidden="false" customHeight="true" outlineLevel="0" collapsed="false">
      <c r="A12" s="46" t="s">
        <v>3270</v>
      </c>
      <c r="B12" s="46" t="s">
        <v>3267</v>
      </c>
      <c r="C12" s="24" t="n">
        <v>2</v>
      </c>
      <c r="D12" s="46" t="s">
        <v>3271</v>
      </c>
      <c r="E12" s="6" t="s">
        <v>594</v>
      </c>
      <c r="F12" s="6" t="s">
        <v>613</v>
      </c>
      <c r="G12" s="6" t="s">
        <v>415</v>
      </c>
      <c r="H12" s="24" t="s">
        <v>419</v>
      </c>
      <c r="I12" s="6" t="s">
        <v>3272</v>
      </c>
    </row>
    <row r="13" customFormat="false" ht="15" hidden="false" customHeight="true" outlineLevel="0" collapsed="false">
      <c r="A13" s="46" t="s">
        <v>3273</v>
      </c>
      <c r="B13" s="46" t="s">
        <v>3267</v>
      </c>
      <c r="C13" s="24" t="n">
        <v>3</v>
      </c>
      <c r="D13" s="46" t="s">
        <v>3274</v>
      </c>
      <c r="E13" s="6" t="s">
        <v>751</v>
      </c>
      <c r="F13" s="6" t="s">
        <v>526</v>
      </c>
      <c r="G13" s="6" t="s">
        <v>415</v>
      </c>
      <c r="H13" s="24" t="s">
        <v>419</v>
      </c>
      <c r="I13" s="6" t="s">
        <v>3275</v>
      </c>
    </row>
    <row r="14" customFormat="false" ht="15" hidden="false" customHeight="true" outlineLevel="0" collapsed="false">
      <c r="A14" s="46" t="s">
        <v>3276</v>
      </c>
      <c r="B14" s="46" t="s">
        <v>3267</v>
      </c>
      <c r="C14" s="24" t="n">
        <v>4</v>
      </c>
      <c r="D14" s="46" t="s">
        <v>3277</v>
      </c>
      <c r="E14" s="6" t="s">
        <v>594</v>
      </c>
      <c r="F14" s="6" t="s">
        <v>643</v>
      </c>
      <c r="G14" s="6" t="s">
        <v>415</v>
      </c>
      <c r="H14" s="24" t="s">
        <v>419</v>
      </c>
      <c r="I14" s="6" t="s">
        <v>3278</v>
      </c>
    </row>
    <row r="15" customFormat="false" ht="15" hidden="false" customHeight="true" outlineLevel="0" collapsed="false">
      <c r="A15" s="46" t="s">
        <v>3279</v>
      </c>
      <c r="B15" s="46" t="s">
        <v>3267</v>
      </c>
      <c r="C15" s="24" t="n">
        <v>5</v>
      </c>
      <c r="D15" s="46" t="s">
        <v>3280</v>
      </c>
      <c r="E15" s="6" t="s">
        <v>1207</v>
      </c>
      <c r="F15" s="6" t="s">
        <v>3261</v>
      </c>
      <c r="G15" s="6" t="s">
        <v>500</v>
      </c>
      <c r="H15" s="24" t="s">
        <v>3262</v>
      </c>
      <c r="I15" s="6" t="s">
        <v>3281</v>
      </c>
    </row>
    <row r="16" customFormat="false" ht="15" hidden="false" customHeight="true" outlineLevel="0" collapsed="false">
      <c r="A16" s="46" t="s">
        <v>3282</v>
      </c>
      <c r="B16" s="46" t="s">
        <v>3267</v>
      </c>
      <c r="C16" s="24" t="n">
        <v>6</v>
      </c>
      <c r="D16" s="46" t="s">
        <v>3283</v>
      </c>
      <c r="E16" s="6" t="s">
        <v>1290</v>
      </c>
      <c r="F16" s="6" t="s">
        <v>3261</v>
      </c>
      <c r="G16" s="6" t="s">
        <v>500</v>
      </c>
      <c r="H16" s="24" t="s">
        <v>3262</v>
      </c>
      <c r="I16" s="6" t="s">
        <v>3281</v>
      </c>
    </row>
    <row r="17" customFormat="false" ht="15" hidden="false" customHeight="true" outlineLevel="0" collapsed="false">
      <c r="A17" s="46" t="s">
        <v>3284</v>
      </c>
      <c r="B17" s="46" t="s">
        <v>3285</v>
      </c>
      <c r="C17" s="24" t="n">
        <v>1</v>
      </c>
      <c r="D17" s="46" t="s">
        <v>3244</v>
      </c>
      <c r="E17" s="6" t="s">
        <v>879</v>
      </c>
      <c r="F17" s="6" t="s">
        <v>881</v>
      </c>
      <c r="G17" s="6" t="s">
        <v>415</v>
      </c>
      <c r="H17" s="24" t="s">
        <v>419</v>
      </c>
      <c r="I17" s="6" t="s">
        <v>3286</v>
      </c>
    </row>
    <row r="18" customFormat="false" ht="15" hidden="false" customHeight="true" outlineLevel="0" collapsed="false">
      <c r="A18" s="46" t="s">
        <v>3287</v>
      </c>
      <c r="B18" s="46" t="s">
        <v>3285</v>
      </c>
      <c r="C18" s="24" t="n">
        <v>2</v>
      </c>
      <c r="D18" s="46" t="s">
        <v>596</v>
      </c>
      <c r="E18" s="6" t="s">
        <v>1049</v>
      </c>
      <c r="F18" s="6" t="s">
        <v>596</v>
      </c>
      <c r="G18" s="6" t="s">
        <v>415</v>
      </c>
      <c r="H18" s="24" t="s">
        <v>419</v>
      </c>
      <c r="I18" s="6" t="s">
        <v>3288</v>
      </c>
    </row>
    <row r="19" customFormat="false" ht="15" hidden="false" customHeight="true" outlineLevel="0" collapsed="false">
      <c r="A19" s="46" t="s">
        <v>3289</v>
      </c>
      <c r="B19" s="46" t="s">
        <v>3285</v>
      </c>
      <c r="C19" s="24" t="n">
        <v>3</v>
      </c>
      <c r="D19" s="46" t="s">
        <v>3290</v>
      </c>
      <c r="E19" s="6" t="s">
        <v>879</v>
      </c>
      <c r="F19" s="6" t="s">
        <v>909</v>
      </c>
      <c r="G19" s="6" t="s">
        <v>415</v>
      </c>
      <c r="H19" s="24" t="s">
        <v>419</v>
      </c>
      <c r="I19" s="6" t="s">
        <v>3291</v>
      </c>
    </row>
    <row r="20" customFormat="false" ht="15" hidden="false" customHeight="true" outlineLevel="0" collapsed="false">
      <c r="A20" s="46" t="s">
        <v>3292</v>
      </c>
      <c r="B20" s="46" t="s">
        <v>3285</v>
      </c>
      <c r="C20" s="24" t="n">
        <v>4</v>
      </c>
      <c r="D20" s="46" t="s">
        <v>3293</v>
      </c>
      <c r="E20" s="6" t="s">
        <v>1049</v>
      </c>
      <c r="F20" s="6" t="s">
        <v>500</v>
      </c>
      <c r="G20" s="6" t="s">
        <v>500</v>
      </c>
      <c r="H20" s="24" t="s">
        <v>419</v>
      </c>
      <c r="I20" s="6" t="s">
        <v>3294</v>
      </c>
    </row>
    <row r="21" customFormat="false" ht="15" hidden="false" customHeight="true" outlineLevel="0" collapsed="false">
      <c r="A21" s="46" t="s">
        <v>3295</v>
      </c>
      <c r="B21" s="46" t="s">
        <v>3285</v>
      </c>
      <c r="C21" s="24" t="n">
        <v>5</v>
      </c>
      <c r="D21" s="46" t="s">
        <v>1542</v>
      </c>
      <c r="E21" s="6" t="s">
        <v>1542</v>
      </c>
      <c r="F21" s="6" t="s">
        <v>3261</v>
      </c>
      <c r="G21" s="6" t="s">
        <v>500</v>
      </c>
      <c r="H21" s="24" t="s">
        <v>3262</v>
      </c>
      <c r="I21" s="6" t="s">
        <v>3296</v>
      </c>
    </row>
    <row r="22" customFormat="false" ht="15" hidden="false" customHeight="true" outlineLevel="0" collapsed="false">
      <c r="A22" s="46" t="s">
        <v>3297</v>
      </c>
      <c r="B22" s="46" t="s">
        <v>3285</v>
      </c>
      <c r="C22" s="24" t="n">
        <v>6</v>
      </c>
      <c r="D22" s="46" t="s">
        <v>1377</v>
      </c>
      <c r="E22" s="6" t="s">
        <v>1377</v>
      </c>
      <c r="F22" s="6" t="s">
        <v>3261</v>
      </c>
      <c r="G22" s="6" t="s">
        <v>500</v>
      </c>
      <c r="H22" s="24" t="s">
        <v>419</v>
      </c>
      <c r="I22" s="6" t="s">
        <v>3298</v>
      </c>
    </row>
    <row r="23" customFormat="false" ht="15" hidden="false" customHeight="true" outlineLevel="0" collapsed="false">
      <c r="A23" s="46" t="s">
        <v>3299</v>
      </c>
      <c r="B23" s="46" t="s">
        <v>3248</v>
      </c>
      <c r="C23" s="24" t="n">
        <v>1</v>
      </c>
      <c r="D23" s="46" t="s">
        <v>3268</v>
      </c>
      <c r="E23" s="6" t="s">
        <v>411</v>
      </c>
      <c r="F23" s="6" t="s">
        <v>413</v>
      </c>
      <c r="G23" s="6" t="s">
        <v>415</v>
      </c>
      <c r="H23" s="24" t="s">
        <v>419</v>
      </c>
      <c r="I23" s="6" t="s">
        <v>3269</v>
      </c>
    </row>
    <row r="24" customFormat="false" ht="15" hidden="false" customHeight="true" outlineLevel="0" collapsed="false">
      <c r="A24" s="46" t="s">
        <v>3300</v>
      </c>
      <c r="B24" s="46" t="s">
        <v>3248</v>
      </c>
      <c r="C24" s="24" t="n">
        <v>2</v>
      </c>
      <c r="D24" s="46" t="s">
        <v>3274</v>
      </c>
      <c r="E24" s="6" t="s">
        <v>751</v>
      </c>
      <c r="F24" s="6" t="s">
        <v>526</v>
      </c>
      <c r="G24" s="6" t="s">
        <v>415</v>
      </c>
      <c r="H24" s="24" t="s">
        <v>419</v>
      </c>
      <c r="I24" s="6" t="s">
        <v>3301</v>
      </c>
    </row>
    <row r="25" customFormat="false" ht="15" hidden="false" customHeight="true" outlineLevel="0" collapsed="false">
      <c r="A25" s="46" t="s">
        <v>3302</v>
      </c>
      <c r="B25" s="46" t="s">
        <v>3248</v>
      </c>
      <c r="C25" s="24" t="n">
        <v>3</v>
      </c>
      <c r="D25" s="46" t="s">
        <v>3303</v>
      </c>
      <c r="E25" s="6" t="s">
        <v>411</v>
      </c>
      <c r="F25" s="6" t="s">
        <v>3261</v>
      </c>
      <c r="G25" s="6" t="s">
        <v>3261</v>
      </c>
      <c r="H25" s="24" t="s">
        <v>419</v>
      </c>
      <c r="I25" s="6" t="s">
        <v>3304</v>
      </c>
    </row>
    <row r="26" customFormat="false" ht="15" hidden="false" customHeight="true" outlineLevel="0" collapsed="false">
      <c r="A26" s="46" t="s">
        <v>3305</v>
      </c>
      <c r="B26" s="46" t="s">
        <v>3248</v>
      </c>
      <c r="C26" s="24" t="n">
        <v>4</v>
      </c>
      <c r="D26" s="46" t="s">
        <v>777</v>
      </c>
      <c r="E26" s="6" t="s">
        <v>751</v>
      </c>
      <c r="F26" s="6" t="s">
        <v>500</v>
      </c>
      <c r="G26" s="6" t="s">
        <v>500</v>
      </c>
      <c r="H26" s="24" t="s">
        <v>419</v>
      </c>
      <c r="I26" s="6" t="s">
        <v>3306</v>
      </c>
    </row>
    <row r="27" customFormat="false" ht="15" hidden="false" customHeight="true" outlineLevel="0" collapsed="false">
      <c r="A27" s="46" t="s">
        <v>3307</v>
      </c>
      <c r="B27" s="46" t="s">
        <v>3248</v>
      </c>
      <c r="C27" s="24" t="n">
        <v>5</v>
      </c>
      <c r="D27" s="46" t="s">
        <v>1290</v>
      </c>
      <c r="E27" s="6" t="s">
        <v>1290</v>
      </c>
      <c r="F27" s="6" t="s">
        <v>3261</v>
      </c>
      <c r="G27" s="6" t="s">
        <v>500</v>
      </c>
      <c r="H27" s="24" t="s">
        <v>419</v>
      </c>
      <c r="I27" s="6" t="s">
        <v>3308</v>
      </c>
    </row>
    <row r="28" customFormat="false" ht="15" hidden="false" customHeight="true" outlineLevel="0" collapsed="false">
      <c r="A28" s="46" t="s">
        <v>3309</v>
      </c>
      <c r="B28" s="46" t="s">
        <v>3252</v>
      </c>
      <c r="C28" s="24" t="n">
        <v>1</v>
      </c>
      <c r="D28" s="46" t="s">
        <v>3310</v>
      </c>
      <c r="E28" s="6" t="s">
        <v>594</v>
      </c>
      <c r="F28" s="6" t="s">
        <v>3311</v>
      </c>
      <c r="G28" s="6" t="s">
        <v>415</v>
      </c>
      <c r="H28" s="24" t="s">
        <v>419</v>
      </c>
      <c r="I28" s="6" t="s">
        <v>3312</v>
      </c>
    </row>
    <row r="29" customFormat="false" ht="15" hidden="false" customHeight="true" outlineLevel="0" collapsed="false">
      <c r="A29" s="46" t="s">
        <v>3313</v>
      </c>
      <c r="B29" s="46" t="s">
        <v>3252</v>
      </c>
      <c r="C29" s="24" t="n">
        <v>2</v>
      </c>
      <c r="D29" s="46" t="s">
        <v>3277</v>
      </c>
      <c r="E29" s="6" t="s">
        <v>594</v>
      </c>
      <c r="F29" s="6" t="s">
        <v>643</v>
      </c>
      <c r="G29" s="6" t="s">
        <v>415</v>
      </c>
      <c r="H29" s="24" t="s">
        <v>419</v>
      </c>
      <c r="I29" s="6" t="s">
        <v>3314</v>
      </c>
    </row>
    <row r="30" customFormat="false" ht="15" hidden="false" customHeight="true" outlineLevel="0" collapsed="false">
      <c r="A30" s="46" t="s">
        <v>3315</v>
      </c>
      <c r="B30" s="46" t="s">
        <v>3252</v>
      </c>
      <c r="C30" s="24" t="n">
        <v>3</v>
      </c>
      <c r="D30" s="46" t="s">
        <v>3316</v>
      </c>
      <c r="E30" s="6" t="s">
        <v>594</v>
      </c>
      <c r="F30" s="6" t="s">
        <v>613</v>
      </c>
      <c r="G30" s="6" t="s">
        <v>415</v>
      </c>
      <c r="H30" s="24" t="s">
        <v>419</v>
      </c>
      <c r="I30" s="6" t="s">
        <v>3317</v>
      </c>
    </row>
    <row r="31" customFormat="false" ht="15" hidden="false" customHeight="true" outlineLevel="0" collapsed="false">
      <c r="A31" s="46" t="s">
        <v>3318</v>
      </c>
      <c r="B31" s="46" t="s">
        <v>3252</v>
      </c>
      <c r="C31" s="24" t="n">
        <v>4</v>
      </c>
      <c r="D31" s="46" t="s">
        <v>3319</v>
      </c>
      <c r="E31" s="6" t="s">
        <v>751</v>
      </c>
      <c r="F31" s="6" t="s">
        <v>3320</v>
      </c>
      <c r="G31" s="6" t="s">
        <v>500</v>
      </c>
      <c r="H31" s="24" t="s">
        <v>419</v>
      </c>
      <c r="I31" s="6" t="s">
        <v>3321</v>
      </c>
    </row>
    <row r="32" customFormat="false" ht="15" hidden="false" customHeight="true" outlineLevel="0" collapsed="false">
      <c r="A32" s="46" t="s">
        <v>3322</v>
      </c>
      <c r="B32" s="46" t="s">
        <v>3252</v>
      </c>
      <c r="C32" s="24" t="n">
        <v>5</v>
      </c>
      <c r="D32" s="46" t="s">
        <v>1207</v>
      </c>
      <c r="E32" s="6" t="s">
        <v>1207</v>
      </c>
      <c r="F32" s="6" t="s">
        <v>3261</v>
      </c>
      <c r="G32" s="6" t="s">
        <v>500</v>
      </c>
      <c r="H32" s="24" t="s">
        <v>419</v>
      </c>
      <c r="I32" s="6" t="s">
        <v>3323</v>
      </c>
    </row>
    <row r="33" customFormat="false" ht="15" hidden="false" customHeight="true" outlineLevel="0" collapsed="false">
      <c r="A33" s="46" t="s">
        <v>3324</v>
      </c>
      <c r="B33" s="46" t="s">
        <v>3325</v>
      </c>
      <c r="C33" s="24" t="n">
        <v>1</v>
      </c>
      <c r="D33" s="46" t="s">
        <v>3244</v>
      </c>
      <c r="E33" s="6" t="s">
        <v>879</v>
      </c>
      <c r="F33" s="6" t="s">
        <v>881</v>
      </c>
      <c r="G33" s="6" t="s">
        <v>415</v>
      </c>
      <c r="H33" s="24" t="s">
        <v>419</v>
      </c>
      <c r="I33" s="6" t="s">
        <v>3286</v>
      </c>
    </row>
    <row r="34" customFormat="false" ht="15" hidden="false" customHeight="true" outlineLevel="0" collapsed="false">
      <c r="A34" s="46" t="s">
        <v>3326</v>
      </c>
      <c r="B34" s="46" t="s">
        <v>3325</v>
      </c>
      <c r="C34" s="24" t="n">
        <v>2</v>
      </c>
      <c r="D34" s="46" t="s">
        <v>596</v>
      </c>
      <c r="E34" s="6" t="s">
        <v>1049</v>
      </c>
      <c r="F34" s="6" t="s">
        <v>596</v>
      </c>
      <c r="G34" s="6" t="s">
        <v>415</v>
      </c>
      <c r="H34" s="24" t="s">
        <v>419</v>
      </c>
      <c r="I34" s="6" t="s">
        <v>3327</v>
      </c>
    </row>
    <row r="35" customFormat="false" ht="15" hidden="false" customHeight="true" outlineLevel="0" collapsed="false">
      <c r="A35" s="46" t="s">
        <v>3328</v>
      </c>
      <c r="B35" s="46" t="s">
        <v>3325</v>
      </c>
      <c r="C35" s="24" t="n">
        <v>3</v>
      </c>
      <c r="D35" s="46" t="s">
        <v>3290</v>
      </c>
      <c r="E35" s="6" t="s">
        <v>879</v>
      </c>
      <c r="F35" s="6" t="s">
        <v>909</v>
      </c>
      <c r="G35" s="6" t="s">
        <v>415</v>
      </c>
      <c r="H35" s="24" t="s">
        <v>419</v>
      </c>
      <c r="I35" s="6" t="s">
        <v>3329</v>
      </c>
    </row>
    <row r="36" customFormat="false" ht="15" hidden="false" customHeight="true" outlineLevel="0" collapsed="false">
      <c r="A36" s="46" t="s">
        <v>3330</v>
      </c>
      <c r="B36" s="46" t="s">
        <v>3325</v>
      </c>
      <c r="C36" s="24" t="n">
        <v>4</v>
      </c>
      <c r="D36" s="46" t="s">
        <v>3293</v>
      </c>
      <c r="E36" s="6" t="s">
        <v>1049</v>
      </c>
      <c r="F36" s="6" t="s">
        <v>500</v>
      </c>
      <c r="G36" s="6" t="s">
        <v>500</v>
      </c>
      <c r="H36" s="24" t="s">
        <v>419</v>
      </c>
      <c r="I36" s="6" t="s">
        <v>3331</v>
      </c>
    </row>
    <row r="37" customFormat="false" ht="15" hidden="false" customHeight="true" outlineLevel="0" collapsed="false">
      <c r="A37" s="46" t="s">
        <v>3332</v>
      </c>
      <c r="B37" s="46" t="s">
        <v>3325</v>
      </c>
      <c r="C37" s="24" t="n">
        <v>5</v>
      </c>
      <c r="D37" s="46" t="s">
        <v>1542</v>
      </c>
      <c r="E37" s="6" t="s">
        <v>1542</v>
      </c>
      <c r="F37" s="6" t="s">
        <v>3261</v>
      </c>
      <c r="G37" s="6" t="s">
        <v>500</v>
      </c>
      <c r="H37" s="24" t="s">
        <v>419</v>
      </c>
      <c r="I37" s="6" t="s">
        <v>3333</v>
      </c>
    </row>
    <row r="38" customFormat="false" ht="15" hidden="false" customHeight="true" outlineLevel="0" collapsed="false">
      <c r="A38" s="46" t="s">
        <v>3334</v>
      </c>
      <c r="B38" s="46" t="s">
        <v>3325</v>
      </c>
      <c r="C38" s="24" t="n">
        <v>6</v>
      </c>
      <c r="D38" s="46" t="s">
        <v>1377</v>
      </c>
      <c r="E38" s="6" t="s">
        <v>1377</v>
      </c>
      <c r="F38" s="6" t="s">
        <v>3261</v>
      </c>
      <c r="G38" s="6" t="s">
        <v>500</v>
      </c>
      <c r="H38" s="24" t="s">
        <v>3262</v>
      </c>
      <c r="I38" s="6" t="s">
        <v>3335</v>
      </c>
    </row>
    <row r="39" customFormat="false" ht="26.25" hidden="false" customHeight="true" outlineLevel="0" collapsed="false">
      <c r="A39" s="46" t="s">
        <v>3336</v>
      </c>
      <c r="B39" s="46" t="s">
        <v>3337</v>
      </c>
      <c r="C39" s="24" t="n">
        <v>1</v>
      </c>
      <c r="D39" s="46" t="s">
        <v>3338</v>
      </c>
      <c r="E39" s="6" t="s">
        <v>3339</v>
      </c>
      <c r="F39" s="6" t="s">
        <v>3261</v>
      </c>
      <c r="G39" s="6" t="s">
        <v>3340</v>
      </c>
      <c r="H39" s="24" t="s">
        <v>419</v>
      </c>
      <c r="I39" s="6" t="s">
        <v>3341</v>
      </c>
    </row>
    <row r="40" customFormat="false" ht="15" hidden="false" customHeight="true" outlineLevel="0" collapsed="false">
      <c r="A40" s="46" t="s">
        <v>3342</v>
      </c>
      <c r="B40" s="46" t="s">
        <v>3337</v>
      </c>
      <c r="C40" s="24" t="n">
        <v>2</v>
      </c>
      <c r="D40" s="46" t="s">
        <v>3343</v>
      </c>
      <c r="E40" s="6" t="s">
        <v>3339</v>
      </c>
      <c r="F40" s="6" t="s">
        <v>3344</v>
      </c>
      <c r="G40" s="6" t="s">
        <v>3340</v>
      </c>
      <c r="H40" s="24" t="s">
        <v>419</v>
      </c>
      <c r="I40" s="6" t="s">
        <v>3345</v>
      </c>
    </row>
    <row r="41" customFormat="false" ht="15" hidden="false" customHeight="true" outlineLevel="0" collapsed="false">
      <c r="A41" s="46" t="s">
        <v>3346</v>
      </c>
      <c r="B41" s="46" t="s">
        <v>3337</v>
      </c>
      <c r="C41" s="24" t="n">
        <v>3</v>
      </c>
      <c r="D41" s="46" t="s">
        <v>3347</v>
      </c>
      <c r="E41" s="6" t="s">
        <v>3339</v>
      </c>
      <c r="F41" s="6" t="s">
        <v>3261</v>
      </c>
      <c r="G41" s="6" t="s">
        <v>3348</v>
      </c>
      <c r="H41" s="24" t="s">
        <v>419</v>
      </c>
      <c r="I41" s="6" t="s">
        <v>3349</v>
      </c>
    </row>
    <row r="42" customFormat="false" ht="26.25" hidden="false" customHeight="true" outlineLevel="0" collapsed="false">
      <c r="A42" s="46" t="s">
        <v>3350</v>
      </c>
      <c r="B42" s="46" t="s">
        <v>3337</v>
      </c>
      <c r="C42" s="24" t="n">
        <v>4</v>
      </c>
      <c r="D42" s="46" t="s">
        <v>3351</v>
      </c>
      <c r="E42" s="6" t="s">
        <v>3352</v>
      </c>
      <c r="F42" s="6" t="s">
        <v>3261</v>
      </c>
      <c r="G42" s="6" t="s">
        <v>3348</v>
      </c>
      <c r="H42" s="24" t="s">
        <v>419</v>
      </c>
      <c r="I42" s="6" t="s">
        <v>3353</v>
      </c>
    </row>
    <row r="43" customFormat="false" ht="15" hidden="false" customHeight="true" outlineLevel="0" collapsed="false">
      <c r="A43" s="46" t="s">
        <v>3354</v>
      </c>
      <c r="B43" s="46" t="s">
        <v>3337</v>
      </c>
      <c r="C43" s="24" t="n">
        <v>5</v>
      </c>
      <c r="D43" s="46" t="s">
        <v>1377</v>
      </c>
      <c r="E43" s="6" t="s">
        <v>1377</v>
      </c>
      <c r="F43" s="6" t="s">
        <v>3261</v>
      </c>
      <c r="G43" s="6" t="s">
        <v>500</v>
      </c>
      <c r="H43" s="24" t="s">
        <v>3262</v>
      </c>
      <c r="I43" s="6" t="s">
        <v>3335</v>
      </c>
    </row>
    <row r="44" customFormat="false" ht="39" hidden="false" customHeight="true" outlineLevel="0" collapsed="false">
      <c r="A44" s="46" t="s">
        <v>3355</v>
      </c>
      <c r="B44" s="46" t="s">
        <v>3356</v>
      </c>
      <c r="C44" s="24" t="n">
        <v>1</v>
      </c>
      <c r="D44" s="46" t="s">
        <v>3357</v>
      </c>
      <c r="E44" s="6" t="s">
        <v>1585</v>
      </c>
      <c r="F44" s="6" t="s">
        <v>3358</v>
      </c>
      <c r="G44" s="6" t="s">
        <v>3359</v>
      </c>
      <c r="H44" s="24" t="s">
        <v>419</v>
      </c>
      <c r="I44" s="6" t="s">
        <v>3360</v>
      </c>
    </row>
    <row r="45" customFormat="false" ht="26.25" hidden="false" customHeight="true" outlineLevel="0" collapsed="false">
      <c r="A45" s="46" t="s">
        <v>3361</v>
      </c>
      <c r="B45" s="46" t="s">
        <v>3356</v>
      </c>
      <c r="C45" s="24" t="n">
        <v>2</v>
      </c>
      <c r="D45" s="46" t="s">
        <v>3362</v>
      </c>
      <c r="E45" s="6" t="s">
        <v>1585</v>
      </c>
      <c r="F45" s="6" t="s">
        <v>3261</v>
      </c>
      <c r="G45" s="6" t="s">
        <v>3363</v>
      </c>
      <c r="H45" s="24" t="s">
        <v>3262</v>
      </c>
      <c r="I45" s="6" t="s">
        <v>3364</v>
      </c>
    </row>
    <row r="46" customFormat="false" ht="15" hidden="false" customHeight="true" outlineLevel="0" collapsed="false">
      <c r="A46" s="46" t="s">
        <v>3365</v>
      </c>
      <c r="B46" s="46" t="s">
        <v>3356</v>
      </c>
      <c r="C46" s="24" t="n">
        <v>3</v>
      </c>
      <c r="D46" s="46" t="s">
        <v>1602</v>
      </c>
      <c r="E46" s="6" t="s">
        <v>1585</v>
      </c>
      <c r="F46" s="6" t="s">
        <v>1602</v>
      </c>
      <c r="G46" s="6" t="s">
        <v>415</v>
      </c>
      <c r="H46" s="24" t="s">
        <v>3262</v>
      </c>
      <c r="I46" s="6" t="s">
        <v>3366</v>
      </c>
    </row>
    <row r="47" customFormat="false" ht="15" hidden="false" customHeight="true" outlineLevel="0" collapsed="false">
      <c r="A47" s="46" t="s">
        <v>3367</v>
      </c>
      <c r="B47" s="46" t="s">
        <v>3356</v>
      </c>
      <c r="C47" s="24" t="n">
        <v>4</v>
      </c>
      <c r="D47" s="46" t="s">
        <v>1377</v>
      </c>
      <c r="E47" s="6" t="s">
        <v>1377</v>
      </c>
      <c r="F47" s="6" t="s">
        <v>3261</v>
      </c>
      <c r="G47" s="6" t="s">
        <v>500</v>
      </c>
      <c r="H47" s="24" t="s">
        <v>3262</v>
      </c>
      <c r="I47" s="6" t="s">
        <v>3368</v>
      </c>
    </row>
  </sheetData>
  <autoFilter ref="A4:I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100"/>
    <col collapsed="false" customWidth="true" hidden="false" outlineLevel="0" max="4" min="4" style="1" width="13"/>
    <col collapsed="false" customWidth="true" hidden="false" outlineLevel="0" max="5" min="5" style="1" width="66"/>
  </cols>
  <sheetData>
    <row r="1" customFormat="false" ht="17.25" hidden="false" customHeight="true" outlineLevel="0" collapsed="false">
      <c r="A1" s="45" t="s">
        <v>3369</v>
      </c>
    </row>
    <row r="2" customFormat="false" ht="15" hidden="false" customHeight="true" outlineLevel="0" collapsed="false">
      <c r="A2" s="16" t="s">
        <v>3370</v>
      </c>
    </row>
    <row r="4" customFormat="false" ht="26.25" hidden="false" customHeight="true" outlineLevel="0" collapsed="false">
      <c r="A4" s="4" t="s">
        <v>2647</v>
      </c>
      <c r="B4" s="4" t="s">
        <v>2994</v>
      </c>
      <c r="C4" s="4" t="s">
        <v>3371</v>
      </c>
      <c r="D4" s="4" t="s">
        <v>3372</v>
      </c>
      <c r="E4" s="4" t="s">
        <v>2795</v>
      </c>
    </row>
    <row r="5" customFormat="false" ht="15" hidden="false" customHeight="true" outlineLevel="0" collapsed="false">
      <c r="A5" s="46" t="s">
        <v>440</v>
      </c>
      <c r="B5" s="46" t="s">
        <v>53</v>
      </c>
      <c r="C5" s="24" t="n">
        <v>8</v>
      </c>
      <c r="D5" s="24" t="n">
        <v>12</v>
      </c>
      <c r="E5" s="6" t="s">
        <v>3373</v>
      </c>
    </row>
    <row r="6" customFormat="false" ht="15" hidden="false" customHeight="true" outlineLevel="0" collapsed="false">
      <c r="A6" s="46" t="s">
        <v>440</v>
      </c>
      <c r="B6" s="46" t="s">
        <v>417</v>
      </c>
      <c r="C6" s="24" t="n">
        <v>10</v>
      </c>
      <c r="D6" s="24" t="n">
        <v>16</v>
      </c>
      <c r="E6" s="6" t="s">
        <v>3373</v>
      </c>
    </row>
    <row r="7" customFormat="false" ht="15" hidden="false" customHeight="true" outlineLevel="0" collapsed="false">
      <c r="A7" s="46" t="s">
        <v>440</v>
      </c>
      <c r="B7" s="46" t="s">
        <v>528</v>
      </c>
      <c r="C7" s="24" t="n">
        <v>12</v>
      </c>
      <c r="D7" s="24" t="n">
        <v>20</v>
      </c>
      <c r="E7" s="6" t="s">
        <v>3373</v>
      </c>
    </row>
    <row r="8" customFormat="false" ht="26.25" hidden="false" customHeight="true" outlineLevel="0" collapsed="false">
      <c r="A8" s="46" t="s">
        <v>421</v>
      </c>
      <c r="B8" s="46" t="s">
        <v>2999</v>
      </c>
      <c r="C8" s="24" t="n">
        <v>6</v>
      </c>
      <c r="D8" s="24" t="n">
        <v>12</v>
      </c>
      <c r="E8" s="6" t="s">
        <v>3374</v>
      </c>
    </row>
    <row r="9" customFormat="false" ht="26.25" hidden="false" customHeight="true" outlineLevel="0" collapsed="false">
      <c r="A9" s="46" t="s">
        <v>924</v>
      </c>
      <c r="B9" s="46" t="s">
        <v>2999</v>
      </c>
      <c r="C9" s="24" t="n">
        <v>6</v>
      </c>
      <c r="D9" s="24" t="n">
        <v>10</v>
      </c>
      <c r="E9" s="6" t="s">
        <v>3375</v>
      </c>
    </row>
    <row r="10" customFormat="false" ht="15" hidden="false" customHeight="true" outlineLevel="0" collapsed="false">
      <c r="A10" s="46" t="s">
        <v>470</v>
      </c>
      <c r="B10" s="46" t="s">
        <v>2999</v>
      </c>
      <c r="C10" s="24" t="n">
        <v>6</v>
      </c>
      <c r="D10" s="24" t="n">
        <v>10</v>
      </c>
      <c r="E10" s="6" t="s">
        <v>3376</v>
      </c>
    </row>
    <row r="12" customFormat="false" ht="15" hidden="false" customHeight="true" outlineLevel="0" collapsed="false">
      <c r="A12" s="54" t="s">
        <v>3377</v>
      </c>
    </row>
    <row r="13" customFormat="false" ht="15" hidden="false" customHeight="true" outlineLevel="0" collapsed="false">
      <c r="A13" s="16" t="s">
        <v>3378</v>
      </c>
    </row>
    <row r="14" customFormat="false" ht="15" hidden="false" customHeight="true" outlineLevel="0" collapsed="false">
      <c r="A14" s="4" t="s">
        <v>3238</v>
      </c>
      <c r="B14" s="4" t="s">
        <v>3043</v>
      </c>
      <c r="C14" s="4" t="s">
        <v>3379</v>
      </c>
    </row>
    <row r="15" customFormat="false" ht="26.25" hidden="false" customHeight="true" outlineLevel="0" collapsed="false">
      <c r="A15" s="24" t="n">
        <v>1</v>
      </c>
      <c r="B15" s="46" t="s">
        <v>3380</v>
      </c>
      <c r="C15" s="6" t="s">
        <v>3381</v>
      </c>
    </row>
    <row r="16" customFormat="false" ht="39" hidden="false" customHeight="true" outlineLevel="0" collapsed="false">
      <c r="A16" s="24" t="n">
        <v>2</v>
      </c>
      <c r="B16" s="46" t="s">
        <v>3382</v>
      </c>
      <c r="C16" s="6" t="s">
        <v>3383</v>
      </c>
    </row>
    <row r="17" customFormat="false" ht="26.25" hidden="false" customHeight="true" outlineLevel="0" collapsed="false">
      <c r="A17" s="24" t="n">
        <v>3</v>
      </c>
      <c r="B17" s="46" t="s">
        <v>3384</v>
      </c>
      <c r="C17" s="6" t="s">
        <v>3385</v>
      </c>
    </row>
    <row r="18" customFormat="false" ht="26.25" hidden="false" customHeight="true" outlineLevel="0" collapsed="false">
      <c r="A18" s="24" t="n">
        <v>4</v>
      </c>
      <c r="B18" s="46" t="s">
        <v>3386</v>
      </c>
      <c r="C18" s="6" t="s">
        <v>3387</v>
      </c>
    </row>
    <row r="19" customFormat="false" ht="26.25" hidden="false" customHeight="true" outlineLevel="0" collapsed="false">
      <c r="A19" s="24" t="n">
        <v>5</v>
      </c>
      <c r="B19" s="46" t="s">
        <v>3388</v>
      </c>
      <c r="C19" s="6" t="s">
        <v>3389</v>
      </c>
    </row>
    <row r="20" customFormat="false" ht="26.25" hidden="false" customHeight="true" outlineLevel="0" collapsed="false">
      <c r="A20" s="24" t="n">
        <v>6</v>
      </c>
      <c r="B20" s="46" t="s">
        <v>3390</v>
      </c>
      <c r="C20" s="6" t="s">
        <v>3391</v>
      </c>
    </row>
    <row r="21" customFormat="false" ht="26.25" hidden="false" customHeight="true" outlineLevel="0" collapsed="false">
      <c r="A21" s="24" t="n">
        <v>7</v>
      </c>
      <c r="B21" s="46" t="s">
        <v>3392</v>
      </c>
      <c r="C21" s="6" t="s">
        <v>3393</v>
      </c>
    </row>
  </sheetData>
  <autoFilter ref="A4:E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84"/>
    <col collapsed="false" customWidth="true" hidden="false" outlineLevel="0" max="4" min="4" style="1" width="48"/>
  </cols>
  <sheetData>
    <row r="1" customFormat="false" ht="17.25" hidden="false" customHeight="true" outlineLevel="0" collapsed="false">
      <c r="A1" s="45" t="s">
        <v>2599</v>
      </c>
    </row>
    <row r="2" customFormat="false" ht="15" hidden="false" customHeight="true" outlineLevel="0" collapsed="false">
      <c r="A2" s="16" t="s">
        <v>3394</v>
      </c>
    </row>
    <row r="4" customFormat="false" ht="15" hidden="false" customHeight="true" outlineLevel="0" collapsed="false">
      <c r="A4" s="4" t="s">
        <v>2727</v>
      </c>
      <c r="B4" s="4" t="s">
        <v>2989</v>
      </c>
      <c r="C4" s="4" t="s">
        <v>3043</v>
      </c>
      <c r="D4" s="4" t="s">
        <v>2797</v>
      </c>
    </row>
    <row r="5" customFormat="false" ht="26.25" hidden="false" customHeight="true" outlineLevel="0" collapsed="false">
      <c r="A5" s="46" t="s">
        <v>3395</v>
      </c>
      <c r="B5" s="46" t="s">
        <v>3396</v>
      </c>
      <c r="C5" s="6" t="s">
        <v>3397</v>
      </c>
      <c r="D5" s="6" t="s">
        <v>3398</v>
      </c>
    </row>
    <row r="6" customFormat="false" ht="26.25" hidden="false" customHeight="true" outlineLevel="0" collapsed="false">
      <c r="A6" s="46" t="s">
        <v>3399</v>
      </c>
      <c r="B6" s="46" t="s">
        <v>3400</v>
      </c>
      <c r="C6" s="6" t="s">
        <v>3401</v>
      </c>
      <c r="D6" s="6" t="s">
        <v>3402</v>
      </c>
    </row>
    <row r="7" customFormat="false" ht="39" hidden="false" customHeight="true" outlineLevel="0" collapsed="false">
      <c r="A7" s="46" t="s">
        <v>3403</v>
      </c>
      <c r="B7" s="46" t="s">
        <v>3404</v>
      </c>
      <c r="C7" s="6" t="s">
        <v>3405</v>
      </c>
      <c r="D7" s="6" t="s">
        <v>3406</v>
      </c>
    </row>
    <row r="8" customFormat="false" ht="39" hidden="false" customHeight="true" outlineLevel="0" collapsed="false">
      <c r="A8" s="46" t="s">
        <v>3407</v>
      </c>
      <c r="B8" s="46" t="s">
        <v>3408</v>
      </c>
      <c r="C8" s="6" t="s">
        <v>3409</v>
      </c>
      <c r="D8" s="6" t="s">
        <v>3410</v>
      </c>
    </row>
    <row r="9" customFormat="false" ht="39" hidden="false" customHeight="true" outlineLevel="0" collapsed="false">
      <c r="A9" s="46" t="s">
        <v>3411</v>
      </c>
      <c r="B9" s="46" t="s">
        <v>3412</v>
      </c>
      <c r="C9" s="6" t="s">
        <v>3413</v>
      </c>
      <c r="D9" s="6" t="s">
        <v>3414</v>
      </c>
    </row>
    <row r="10" customFormat="false" ht="39" hidden="false" customHeight="true" outlineLevel="0" collapsed="false">
      <c r="A10" s="46" t="s">
        <v>3415</v>
      </c>
      <c r="B10" s="46" t="s">
        <v>3416</v>
      </c>
      <c r="C10" s="6" t="s">
        <v>3417</v>
      </c>
      <c r="D10" s="6" t="s">
        <v>3418</v>
      </c>
    </row>
    <row r="11" customFormat="false" ht="39" hidden="false" customHeight="true" outlineLevel="0" collapsed="false">
      <c r="A11" s="46" t="s">
        <v>3419</v>
      </c>
      <c r="B11" s="46" t="s">
        <v>3420</v>
      </c>
      <c r="C11" s="6" t="s">
        <v>3421</v>
      </c>
      <c r="D11" s="6" t="s">
        <v>3422</v>
      </c>
    </row>
    <row r="12" customFormat="false" ht="26.25" hidden="false" customHeight="true" outlineLevel="0" collapsed="false">
      <c r="A12" s="46" t="s">
        <v>3423</v>
      </c>
      <c r="B12" s="46" t="s">
        <v>3424</v>
      </c>
      <c r="C12" s="6" t="s">
        <v>3425</v>
      </c>
      <c r="D12" s="6" t="s">
        <v>3426</v>
      </c>
    </row>
    <row r="13" customFormat="false" ht="26.25" hidden="false" customHeight="true" outlineLevel="0" collapsed="false">
      <c r="A13" s="46" t="s">
        <v>3427</v>
      </c>
      <c r="B13" s="46" t="s">
        <v>3428</v>
      </c>
      <c r="C13" s="6" t="s">
        <v>3429</v>
      </c>
      <c r="D13" s="6" t="s">
        <v>3430</v>
      </c>
    </row>
    <row r="14" customFormat="false" ht="39" hidden="false" customHeight="true" outlineLevel="0" collapsed="false">
      <c r="A14" s="46" t="s">
        <v>3431</v>
      </c>
      <c r="B14" s="46" t="s">
        <v>3432</v>
      </c>
      <c r="C14" s="6" t="s">
        <v>3433</v>
      </c>
      <c r="D14" s="6" t="s">
        <v>3434</v>
      </c>
    </row>
  </sheetData>
  <autoFilter ref="A4:D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30"/>
    <col collapsed="false" customWidth="true" hidden="false" outlineLevel="0" max="4" min="4" style="1" width="60"/>
    <col collapsed="false" customWidth="true" hidden="false" outlineLevel="0" max="5" min="5" style="1" width="50"/>
    <col collapsed="false" customWidth="true" hidden="false" outlineLevel="0" max="6" min="6" style="1" width="12"/>
  </cols>
  <sheetData>
    <row r="1" customFormat="false" ht="17.25" hidden="false" customHeight="true" outlineLevel="0" collapsed="false">
      <c r="A1" s="15" t="s">
        <v>3435</v>
      </c>
    </row>
    <row r="2" customFormat="false" ht="15" hidden="false" customHeight="true" outlineLevel="0" collapsed="false">
      <c r="A2" s="16" t="s">
        <v>3436</v>
      </c>
    </row>
    <row r="4" customFormat="false" ht="15" hidden="false" customHeight="true" outlineLevel="0" collapsed="false">
      <c r="A4" s="4" t="s">
        <v>3437</v>
      </c>
      <c r="B4" s="4" t="s">
        <v>2989</v>
      </c>
      <c r="C4" s="4" t="s">
        <v>3438</v>
      </c>
      <c r="D4" s="4" t="s">
        <v>3439</v>
      </c>
      <c r="E4" s="4" t="s">
        <v>3440</v>
      </c>
      <c r="F4" s="4" t="s">
        <v>3441</v>
      </c>
    </row>
    <row r="5" customFormat="false" ht="51.75" hidden="false" customHeight="true" outlineLevel="0" collapsed="false">
      <c r="A5" s="46" t="s">
        <v>3442</v>
      </c>
      <c r="B5" s="46" t="s">
        <v>3443</v>
      </c>
      <c r="C5" s="6" t="s">
        <v>3444</v>
      </c>
      <c r="D5" s="6" t="s">
        <v>3445</v>
      </c>
      <c r="E5" s="6" t="s">
        <v>3446</v>
      </c>
      <c r="F5" s="46" t="s">
        <v>3447</v>
      </c>
    </row>
    <row r="6" customFormat="false" ht="51.75" hidden="false" customHeight="true" outlineLevel="0" collapsed="false">
      <c r="A6" s="46" t="s">
        <v>3448</v>
      </c>
      <c r="B6" s="46" t="s">
        <v>3449</v>
      </c>
      <c r="C6" s="6" t="s">
        <v>3450</v>
      </c>
      <c r="D6" s="6" t="s">
        <v>3451</v>
      </c>
      <c r="E6" s="6" t="s">
        <v>3452</v>
      </c>
      <c r="F6" s="46" t="s">
        <v>3447</v>
      </c>
    </row>
    <row r="7" customFormat="false" ht="51.75" hidden="false" customHeight="true" outlineLevel="0" collapsed="false">
      <c r="A7" s="46" t="s">
        <v>3453</v>
      </c>
      <c r="B7" s="46" t="s">
        <v>3454</v>
      </c>
      <c r="C7" s="6" t="s">
        <v>3455</v>
      </c>
      <c r="D7" s="6" t="s">
        <v>3456</v>
      </c>
      <c r="E7" s="6" t="s">
        <v>3457</v>
      </c>
      <c r="F7" s="46" t="s">
        <v>3458</v>
      </c>
    </row>
    <row r="8" customFormat="false" ht="51.75" hidden="false" customHeight="true" outlineLevel="0" collapsed="false">
      <c r="A8" s="46" t="s">
        <v>3459</v>
      </c>
      <c r="B8" s="46" t="s">
        <v>3460</v>
      </c>
      <c r="C8" s="6" t="s">
        <v>3461</v>
      </c>
      <c r="D8" s="6" t="s">
        <v>3462</v>
      </c>
      <c r="E8" s="6" t="s">
        <v>3463</v>
      </c>
      <c r="F8" s="46" t="s">
        <v>3447</v>
      </c>
    </row>
    <row r="9" customFormat="false" ht="51.75" hidden="false" customHeight="true" outlineLevel="0" collapsed="false">
      <c r="A9" s="46" t="s">
        <v>3464</v>
      </c>
      <c r="B9" s="46" t="s">
        <v>3465</v>
      </c>
      <c r="C9" s="6" t="s">
        <v>3466</v>
      </c>
      <c r="D9" s="6" t="s">
        <v>3467</v>
      </c>
      <c r="E9" s="6" t="s">
        <v>3468</v>
      </c>
      <c r="F9" s="46" t="s">
        <v>3469</v>
      </c>
    </row>
    <row r="10" customFormat="false" ht="39" hidden="false" customHeight="true" outlineLevel="0" collapsed="false">
      <c r="A10" s="46" t="s">
        <v>3470</v>
      </c>
      <c r="B10" s="46" t="s">
        <v>3471</v>
      </c>
      <c r="C10" s="6" t="s">
        <v>3472</v>
      </c>
      <c r="D10" s="6" t="s">
        <v>3473</v>
      </c>
      <c r="E10" s="6" t="s">
        <v>3474</v>
      </c>
      <c r="F10" s="46" t="s">
        <v>26</v>
      </c>
    </row>
    <row r="12" customFormat="false" ht="15" hidden="false" customHeight="true" outlineLevel="0" collapsed="false">
      <c r="A12" s="54" t="s">
        <v>3475</v>
      </c>
    </row>
    <row r="13" customFormat="false" ht="15" hidden="false" customHeight="true" outlineLevel="0" collapsed="false">
      <c r="A13" s="18" t="s">
        <v>3476</v>
      </c>
      <c r="B13" s="18"/>
      <c r="C13" s="18"/>
      <c r="D13" s="18"/>
      <c r="E13" s="18"/>
      <c r="F13" s="18"/>
    </row>
    <row r="14" customFormat="false" ht="15" hidden="false" customHeight="true" outlineLevel="0" collapsed="false">
      <c r="A14" s="18" t="s">
        <v>3477</v>
      </c>
      <c r="B14" s="18"/>
      <c r="C14" s="18"/>
      <c r="D14" s="18"/>
      <c r="E14" s="18"/>
      <c r="F14" s="18"/>
    </row>
    <row r="15" customFormat="false" ht="26.25" hidden="false" customHeight="true" outlineLevel="0" collapsed="false">
      <c r="A15" s="18" t="s">
        <v>3478</v>
      </c>
      <c r="B15" s="18"/>
      <c r="C15" s="18"/>
      <c r="D15" s="18"/>
      <c r="E15" s="18"/>
      <c r="F15" s="18"/>
    </row>
    <row r="16" customFormat="false" ht="15" hidden="false" customHeight="true" outlineLevel="0" collapsed="false">
      <c r="A16" s="18" t="s">
        <v>3479</v>
      </c>
      <c r="B16" s="18"/>
      <c r="C16" s="18"/>
      <c r="D16" s="18"/>
      <c r="E16" s="18"/>
      <c r="F16" s="18"/>
    </row>
    <row r="17" customFormat="false" ht="15" hidden="false" customHeight="true" outlineLevel="0" collapsed="false">
      <c r="A17" s="18" t="s">
        <v>3480</v>
      </c>
      <c r="B17" s="18"/>
      <c r="C17" s="18"/>
      <c r="D17" s="18"/>
      <c r="E17" s="18"/>
      <c r="F17" s="18"/>
    </row>
    <row r="18" customFormat="false" ht="15" hidden="false" customHeight="true" outlineLevel="0" collapsed="false">
      <c r="A18" s="18" t="s">
        <v>3481</v>
      </c>
      <c r="B18" s="18"/>
      <c r="C18" s="18"/>
      <c r="D18" s="18"/>
      <c r="E18" s="18"/>
      <c r="F18" s="18"/>
    </row>
  </sheetData>
  <autoFilter ref="A4:F10"/>
  <mergeCells count="6">
    <mergeCell ref="A13:F13"/>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66"/>
    <col collapsed="false" customWidth="true" hidden="false" outlineLevel="0" max="4" min="4" style="1" width="40"/>
  </cols>
  <sheetData>
    <row r="1" customFormat="false" ht="17.25" hidden="false" customHeight="true" outlineLevel="0" collapsed="false">
      <c r="A1" s="15" t="s">
        <v>3482</v>
      </c>
    </row>
    <row r="2" customFormat="false" ht="15" hidden="false" customHeight="true" outlineLevel="0" collapsed="false">
      <c r="A2" s="16" t="s">
        <v>3483</v>
      </c>
    </row>
    <row r="4" customFormat="false" ht="15" hidden="false" customHeight="true" outlineLevel="0" collapsed="false">
      <c r="A4" s="4" t="s">
        <v>3484</v>
      </c>
      <c r="B4" s="4" t="s">
        <v>3485</v>
      </c>
      <c r="C4" s="4" t="s">
        <v>3486</v>
      </c>
      <c r="D4" s="4" t="s">
        <v>3487</v>
      </c>
    </row>
    <row r="5" customFormat="false" ht="39" hidden="false" customHeight="true" outlineLevel="0" collapsed="false">
      <c r="A5" s="46" t="s">
        <v>222</v>
      </c>
      <c r="B5" s="46" t="s">
        <v>3488</v>
      </c>
      <c r="C5" s="6" t="s">
        <v>3489</v>
      </c>
      <c r="D5" s="6" t="s">
        <v>3490</v>
      </c>
    </row>
    <row r="6" customFormat="false" ht="39" hidden="false" customHeight="true" outlineLevel="0" collapsed="false">
      <c r="A6" s="46" t="s">
        <v>3491</v>
      </c>
      <c r="B6" s="46" t="s">
        <v>3492</v>
      </c>
      <c r="C6" s="6" t="s">
        <v>3493</v>
      </c>
      <c r="D6" s="6" t="s">
        <v>3494</v>
      </c>
    </row>
    <row r="7" customFormat="false" ht="64.5" hidden="false" customHeight="true" outlineLevel="0" collapsed="false">
      <c r="A7" s="46" t="s">
        <v>265</v>
      </c>
      <c r="B7" s="46" t="s">
        <v>3495</v>
      </c>
      <c r="C7" s="6" t="s">
        <v>3496</v>
      </c>
      <c r="D7" s="6" t="s">
        <v>3497</v>
      </c>
    </row>
    <row r="8" customFormat="false" ht="39" hidden="false" customHeight="true" outlineLevel="0" collapsed="false">
      <c r="A8" s="46" t="s">
        <v>3498</v>
      </c>
      <c r="B8" s="46" t="s">
        <v>3499</v>
      </c>
      <c r="C8" s="6" t="s">
        <v>3500</v>
      </c>
      <c r="D8" s="6" t="s">
        <v>3501</v>
      </c>
    </row>
    <row r="9" customFormat="false" ht="39" hidden="false" customHeight="true" outlineLevel="0" collapsed="false">
      <c r="A9" s="46" t="s">
        <v>322</v>
      </c>
      <c r="B9" s="46" t="s">
        <v>3502</v>
      </c>
      <c r="C9" s="6" t="s">
        <v>3503</v>
      </c>
      <c r="D9" s="6" t="s">
        <v>3504</v>
      </c>
    </row>
    <row r="10" customFormat="false" ht="51.75" hidden="false" customHeight="true" outlineLevel="0" collapsed="false">
      <c r="A10" s="46" t="s">
        <v>256</v>
      </c>
      <c r="B10" s="46" t="s">
        <v>3505</v>
      </c>
      <c r="C10" s="6" t="s">
        <v>3506</v>
      </c>
      <c r="D10" s="6" t="s">
        <v>3507</v>
      </c>
    </row>
  </sheetData>
  <autoFilter ref="A4:D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8"/>
    <col collapsed="false" customWidth="true" hidden="false" outlineLevel="0" max="3" min="3" style="1" width="88"/>
    <col collapsed="false" customWidth="true" hidden="false" outlineLevel="0" max="4" min="4" style="1" width="36"/>
  </cols>
  <sheetData>
    <row r="1" customFormat="false" ht="17.25" hidden="false" customHeight="true" outlineLevel="0" collapsed="false">
      <c r="A1" s="45" t="s">
        <v>268</v>
      </c>
    </row>
    <row r="2" customFormat="false" ht="15" hidden="false" customHeight="true" outlineLevel="0" collapsed="false">
      <c r="A2" s="16" t="s">
        <v>3508</v>
      </c>
    </row>
    <row r="4" customFormat="false" ht="15" hidden="false" customHeight="true" outlineLevel="0" collapsed="false">
      <c r="A4" s="4" t="s">
        <v>3509</v>
      </c>
      <c r="B4" s="4" t="s">
        <v>2989</v>
      </c>
      <c r="C4" s="4" t="s">
        <v>3510</v>
      </c>
      <c r="D4" s="4" t="s">
        <v>3511</v>
      </c>
    </row>
    <row r="5" customFormat="false" ht="26.25" hidden="false" customHeight="true" outlineLevel="0" collapsed="false">
      <c r="A5" s="24" t="n">
        <v>1</v>
      </c>
      <c r="B5" s="46" t="s">
        <v>3512</v>
      </c>
      <c r="C5" s="6" t="s">
        <v>3513</v>
      </c>
      <c r="D5" s="6" t="s">
        <v>2595</v>
      </c>
    </row>
    <row r="6" customFormat="false" ht="39" hidden="false" customHeight="true" outlineLevel="0" collapsed="false">
      <c r="A6" s="24" t="n">
        <v>2</v>
      </c>
      <c r="B6" s="46" t="s">
        <v>3514</v>
      </c>
      <c r="C6" s="6" t="s">
        <v>3515</v>
      </c>
      <c r="D6" s="6" t="s">
        <v>3516</v>
      </c>
    </row>
    <row r="7" customFormat="false" ht="39" hidden="false" customHeight="true" outlineLevel="0" collapsed="false">
      <c r="A7" s="24" t="n">
        <v>3</v>
      </c>
      <c r="B7" s="46" t="s">
        <v>3517</v>
      </c>
      <c r="C7" s="6" t="s">
        <v>3518</v>
      </c>
      <c r="D7" s="6" t="s">
        <v>3519</v>
      </c>
    </row>
    <row r="8" customFormat="false" ht="51.75" hidden="false" customHeight="true" outlineLevel="0" collapsed="false">
      <c r="A8" s="24" t="n">
        <v>4</v>
      </c>
      <c r="B8" s="46" t="s">
        <v>3520</v>
      </c>
      <c r="C8" s="6" t="s">
        <v>3521</v>
      </c>
      <c r="D8" s="6" t="s">
        <v>3522</v>
      </c>
    </row>
    <row r="9" customFormat="false" ht="26.25" hidden="false" customHeight="true" outlineLevel="0" collapsed="false">
      <c r="A9" s="24" t="n">
        <v>5</v>
      </c>
      <c r="B9" s="46" t="s">
        <v>3523</v>
      </c>
      <c r="C9" s="6" t="s">
        <v>3524</v>
      </c>
      <c r="D9" s="6" t="s">
        <v>3525</v>
      </c>
    </row>
    <row r="10" customFormat="false" ht="39" hidden="false" customHeight="true" outlineLevel="0" collapsed="false">
      <c r="A10" s="24" t="n">
        <v>6</v>
      </c>
      <c r="B10" s="46" t="s">
        <v>3526</v>
      </c>
      <c r="C10" s="6" t="s">
        <v>3527</v>
      </c>
      <c r="D10" s="6" t="s">
        <v>3528</v>
      </c>
    </row>
    <row r="11" customFormat="false" ht="39" hidden="false" customHeight="true" outlineLevel="0" collapsed="false">
      <c r="A11" s="24" t="n">
        <v>7</v>
      </c>
      <c r="B11" s="46" t="s">
        <v>3529</v>
      </c>
      <c r="C11" s="6" t="s">
        <v>3530</v>
      </c>
      <c r="D11" s="6" t="s">
        <v>3531</v>
      </c>
    </row>
    <row r="12" customFormat="false" ht="26.25" hidden="false" customHeight="true" outlineLevel="0" collapsed="false">
      <c r="A12" s="24" t="n">
        <v>8</v>
      </c>
      <c r="B12" s="46" t="s">
        <v>3532</v>
      </c>
      <c r="C12" s="6" t="s">
        <v>3533</v>
      </c>
      <c r="D12" s="6" t="s">
        <v>59</v>
      </c>
    </row>
    <row r="13" customFormat="false" ht="26.25" hidden="false" customHeight="true" outlineLevel="0" collapsed="false">
      <c r="A13" s="24" t="n">
        <v>9</v>
      </c>
      <c r="B13" s="46" t="s">
        <v>3534</v>
      </c>
      <c r="C13" s="6" t="s">
        <v>3535</v>
      </c>
      <c r="D13" s="6" t="s">
        <v>3536</v>
      </c>
    </row>
    <row r="14" customFormat="false" ht="26.25" hidden="false" customHeight="true" outlineLevel="0" collapsed="false">
      <c r="A14" s="24" t="n">
        <v>10</v>
      </c>
      <c r="B14" s="46" t="s">
        <v>3537</v>
      </c>
      <c r="C14" s="6" t="s">
        <v>3538</v>
      </c>
      <c r="D14" s="6" t="s">
        <v>3539</v>
      </c>
    </row>
    <row r="15" customFormat="false" ht="26.25" hidden="false" customHeight="true" outlineLevel="0" collapsed="false">
      <c r="A15" s="24" t="n">
        <v>11</v>
      </c>
      <c r="B15" s="46" t="s">
        <v>3540</v>
      </c>
      <c r="C15" s="6" t="s">
        <v>3541</v>
      </c>
      <c r="D15" s="6" t="s">
        <v>2599</v>
      </c>
    </row>
    <row r="16" customFormat="false" ht="26.25" hidden="false" customHeight="true" outlineLevel="0" collapsed="false">
      <c r="A16" s="24" t="n">
        <v>12</v>
      </c>
      <c r="B16" s="46" t="s">
        <v>3542</v>
      </c>
      <c r="C16" s="6" t="s">
        <v>3543</v>
      </c>
      <c r="D16" s="6" t="s">
        <v>250</v>
      </c>
    </row>
    <row r="17" customFormat="false" ht="26.25" hidden="false" customHeight="true" outlineLevel="0" collapsed="false">
      <c r="A17" s="24" t="n">
        <v>13</v>
      </c>
      <c r="B17" s="46" t="s">
        <v>3544</v>
      </c>
      <c r="C17" s="6" t="s">
        <v>3545</v>
      </c>
      <c r="D17" s="6" t="s">
        <v>152</v>
      </c>
    </row>
    <row r="18" customFormat="false" ht="39" hidden="false" customHeight="true" outlineLevel="0" collapsed="false">
      <c r="A18" s="24" t="n">
        <v>14</v>
      </c>
      <c r="B18" s="46" t="s">
        <v>3546</v>
      </c>
      <c r="C18" s="6" t="s">
        <v>3547</v>
      </c>
      <c r="D18" s="6" t="s">
        <v>3548</v>
      </c>
    </row>
  </sheetData>
  <autoFilter ref="A4:D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90"/>
    <col collapsed="false" customWidth="true" hidden="false" outlineLevel="0" max="4" min="4" style="1" width="52"/>
  </cols>
  <sheetData>
    <row r="1" customFormat="false" ht="17.25" hidden="false" customHeight="true" outlineLevel="0" collapsed="false">
      <c r="A1" s="45" t="s">
        <v>3549</v>
      </c>
    </row>
    <row r="2" customFormat="false" ht="15" hidden="false" customHeight="true" outlineLevel="0" collapsed="false">
      <c r="A2" s="16" t="s">
        <v>3550</v>
      </c>
    </row>
    <row r="4" customFormat="false" ht="15" hidden="false" customHeight="true" outlineLevel="0" collapsed="false">
      <c r="A4" s="4" t="s">
        <v>3551</v>
      </c>
      <c r="B4" s="4" t="s">
        <v>1909</v>
      </c>
      <c r="C4" s="4" t="s">
        <v>3552</v>
      </c>
      <c r="D4" s="4" t="s">
        <v>3553</v>
      </c>
    </row>
    <row r="5" customFormat="false" ht="39" hidden="false" customHeight="true" outlineLevel="0" collapsed="false">
      <c r="A5" s="46" t="s">
        <v>3554</v>
      </c>
      <c r="B5" s="46" t="s">
        <v>3555</v>
      </c>
      <c r="C5" s="6" t="s">
        <v>3556</v>
      </c>
      <c r="D5" s="6" t="s">
        <v>3557</v>
      </c>
    </row>
    <row r="6" customFormat="false" ht="51.75" hidden="false" customHeight="true" outlineLevel="0" collapsed="false">
      <c r="A6" s="46" t="s">
        <v>3558</v>
      </c>
      <c r="B6" s="46" t="s">
        <v>3559</v>
      </c>
      <c r="C6" s="6" t="s">
        <v>3560</v>
      </c>
      <c r="D6" s="6" t="s">
        <v>3561</v>
      </c>
    </row>
    <row r="7" customFormat="false" ht="39" hidden="false" customHeight="true" outlineLevel="0" collapsed="false">
      <c r="A7" s="46" t="s">
        <v>3562</v>
      </c>
      <c r="B7" s="46" t="s">
        <v>3563</v>
      </c>
      <c r="C7" s="6" t="s">
        <v>3564</v>
      </c>
      <c r="D7" s="6" t="s">
        <v>3565</v>
      </c>
    </row>
    <row r="8" customFormat="false" ht="39" hidden="false" customHeight="true" outlineLevel="0" collapsed="false">
      <c r="A8" s="46" t="s">
        <v>3566</v>
      </c>
      <c r="B8" s="46" t="s">
        <v>3567</v>
      </c>
      <c r="C8" s="6" t="s">
        <v>3568</v>
      </c>
      <c r="D8" s="6" t="s">
        <v>3569</v>
      </c>
    </row>
    <row r="9" customFormat="false" ht="26.25" hidden="false" customHeight="true" outlineLevel="0" collapsed="false">
      <c r="A9" s="46" t="s">
        <v>3570</v>
      </c>
      <c r="B9" s="46" t="s">
        <v>3571</v>
      </c>
      <c r="C9" s="6" t="s">
        <v>3572</v>
      </c>
      <c r="D9" s="6" t="s">
        <v>3573</v>
      </c>
    </row>
    <row r="10" customFormat="false" ht="39" hidden="false" customHeight="true" outlineLevel="0" collapsed="false">
      <c r="A10" s="46" t="s">
        <v>3574</v>
      </c>
      <c r="B10" s="46" t="s">
        <v>3575</v>
      </c>
      <c r="C10" s="6" t="s">
        <v>3576</v>
      </c>
      <c r="D10" s="6" t="s">
        <v>3577</v>
      </c>
    </row>
    <row r="11" customFormat="false" ht="26.25" hidden="false" customHeight="true" outlineLevel="0" collapsed="false">
      <c r="A11" s="46" t="s">
        <v>3578</v>
      </c>
      <c r="B11" s="46" t="s">
        <v>3575</v>
      </c>
      <c r="C11" s="6" t="s">
        <v>3579</v>
      </c>
      <c r="D11" s="6" t="s">
        <v>3580</v>
      </c>
    </row>
  </sheetData>
  <autoFilter ref="A4: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34"/>
    <col collapsed="false" customWidth="true" hidden="false" outlineLevel="0" max="4" min="4" style="1" width="26"/>
    <col collapsed="false" customWidth="true" hidden="false" outlineLevel="0" max="5" min="5" style="1" width="30"/>
    <col collapsed="false" customWidth="true" hidden="false" outlineLevel="0" max="6" min="6" style="1" width="10"/>
    <col collapsed="false" customWidth="true" hidden="false" outlineLevel="0" max="7" min="7" style="1" width="40"/>
  </cols>
  <sheetData>
    <row r="1" customFormat="false" ht="17.25" hidden="false" customHeight="true" outlineLevel="0" collapsed="false">
      <c r="A1" s="45" t="s">
        <v>18</v>
      </c>
    </row>
    <row r="2" customFormat="false" ht="15" hidden="false" customHeight="true" outlineLevel="0" collapsed="false">
      <c r="A2" s="16" t="s">
        <v>3581</v>
      </c>
    </row>
    <row r="4" customFormat="false" ht="15" hidden="false" customHeight="true" outlineLevel="0" collapsed="false">
      <c r="A4" s="4" t="s">
        <v>3509</v>
      </c>
      <c r="B4" s="4" t="s">
        <v>3582</v>
      </c>
      <c r="C4" s="4" t="s">
        <v>3583</v>
      </c>
      <c r="D4" s="4" t="s">
        <v>3584</v>
      </c>
      <c r="E4" s="4" t="s">
        <v>3585</v>
      </c>
      <c r="F4" s="4" t="s">
        <v>3586</v>
      </c>
      <c r="G4" s="4" t="s">
        <v>3587</v>
      </c>
    </row>
    <row r="5" customFormat="false" ht="15" hidden="false" customHeight="true" outlineLevel="0" collapsed="false">
      <c r="A5" s="46" t="s">
        <v>13</v>
      </c>
      <c r="B5" s="46" t="s">
        <v>2989</v>
      </c>
      <c r="C5" s="6" t="s">
        <v>15</v>
      </c>
      <c r="D5" s="46" t="s">
        <v>3588</v>
      </c>
      <c r="E5" s="6" t="s">
        <v>3589</v>
      </c>
      <c r="F5" s="24" t="s">
        <v>3590</v>
      </c>
      <c r="G5" s="6" t="s">
        <v>3591</v>
      </c>
    </row>
    <row r="6" customFormat="false" ht="15" hidden="false" customHeight="true" outlineLevel="0" collapsed="false">
      <c r="A6" s="46" t="s">
        <v>13</v>
      </c>
      <c r="B6" s="46" t="s">
        <v>3592</v>
      </c>
      <c r="C6" s="6" t="s">
        <v>3593</v>
      </c>
      <c r="D6" s="46" t="s">
        <v>3594</v>
      </c>
      <c r="E6" s="6" t="s">
        <v>3595</v>
      </c>
      <c r="F6" s="24" t="s">
        <v>3590</v>
      </c>
      <c r="G6" s="6" t="s">
        <v>3596</v>
      </c>
    </row>
    <row r="7" customFormat="false" ht="15" hidden="false" customHeight="true" outlineLevel="0" collapsed="false">
      <c r="A7" s="46" t="s">
        <v>13</v>
      </c>
      <c r="B7" s="46" t="s">
        <v>3597</v>
      </c>
      <c r="C7" s="6" t="s">
        <v>3598</v>
      </c>
      <c r="D7" s="46" t="s">
        <v>3599</v>
      </c>
      <c r="E7" s="6" t="s">
        <v>3600</v>
      </c>
      <c r="F7" s="24" t="s">
        <v>3590</v>
      </c>
      <c r="G7" s="6" t="s">
        <v>3601</v>
      </c>
    </row>
    <row r="8" customFormat="false" ht="15" hidden="false" customHeight="true" outlineLevel="0" collapsed="false">
      <c r="A8" s="46" t="s">
        <v>28</v>
      </c>
      <c r="B8" s="46" t="s">
        <v>3602</v>
      </c>
      <c r="C8" s="6" t="s">
        <v>3603</v>
      </c>
      <c r="D8" s="46" t="s">
        <v>3604</v>
      </c>
      <c r="E8" s="6" t="s">
        <v>3605</v>
      </c>
      <c r="F8" s="24" t="s">
        <v>3590</v>
      </c>
      <c r="G8" s="6" t="s">
        <v>3606</v>
      </c>
    </row>
    <row r="9" customFormat="false" ht="15" hidden="false" customHeight="true" outlineLevel="0" collapsed="false">
      <c r="A9" s="46" t="s">
        <v>28</v>
      </c>
      <c r="B9" s="46" t="s">
        <v>3607</v>
      </c>
      <c r="C9" s="6" t="s">
        <v>3608</v>
      </c>
      <c r="D9" s="46" t="s">
        <v>3609</v>
      </c>
      <c r="E9" s="6" t="s">
        <v>3610</v>
      </c>
      <c r="F9" s="24" t="s">
        <v>3590</v>
      </c>
      <c r="G9" s="6" t="s">
        <v>3611</v>
      </c>
    </row>
    <row r="10" customFormat="false" ht="15" hidden="false" customHeight="true" outlineLevel="0" collapsed="false">
      <c r="A10" s="46" t="s">
        <v>28</v>
      </c>
      <c r="B10" s="46" t="s">
        <v>3612</v>
      </c>
      <c r="C10" s="6" t="s">
        <v>3613</v>
      </c>
      <c r="D10" s="46" t="s">
        <v>3614</v>
      </c>
      <c r="E10" s="6" t="s">
        <v>3610</v>
      </c>
      <c r="F10" s="24" t="s">
        <v>3590</v>
      </c>
      <c r="G10" s="6" t="s">
        <v>3606</v>
      </c>
    </row>
    <row r="11" customFormat="false" ht="15" hidden="false" customHeight="true" outlineLevel="0" collapsed="false">
      <c r="A11" s="46" t="s">
        <v>39</v>
      </c>
      <c r="B11" s="46" t="s">
        <v>2647</v>
      </c>
      <c r="C11" s="6" t="s">
        <v>3615</v>
      </c>
      <c r="D11" s="46" t="s">
        <v>3616</v>
      </c>
      <c r="E11" s="6" t="s">
        <v>3617</v>
      </c>
      <c r="F11" s="24" t="s">
        <v>3590</v>
      </c>
      <c r="G11" s="6" t="s">
        <v>3618</v>
      </c>
    </row>
    <row r="12" customFormat="false" ht="51.75" hidden="false" customHeight="true" outlineLevel="0" collapsed="false">
      <c r="A12" s="46" t="s">
        <v>39</v>
      </c>
      <c r="B12" s="46" t="s">
        <v>3619</v>
      </c>
      <c r="C12" s="6" t="s">
        <v>3620</v>
      </c>
      <c r="D12" s="46" t="s">
        <v>3621</v>
      </c>
      <c r="E12" s="6" t="s">
        <v>3622</v>
      </c>
      <c r="F12" s="24" t="s">
        <v>3623</v>
      </c>
      <c r="G12" s="6" t="s">
        <v>3624</v>
      </c>
    </row>
    <row r="13" customFormat="false" ht="64.5" hidden="false" customHeight="true" outlineLevel="0" collapsed="false">
      <c r="A13" s="46" t="s">
        <v>50</v>
      </c>
      <c r="B13" s="46" t="s">
        <v>2994</v>
      </c>
      <c r="C13" s="6" t="s">
        <v>3625</v>
      </c>
      <c r="D13" s="46" t="s">
        <v>3626</v>
      </c>
      <c r="E13" s="6" t="s">
        <v>3627</v>
      </c>
      <c r="F13" s="24" t="s">
        <v>3590</v>
      </c>
      <c r="G13" s="6" t="s">
        <v>3628</v>
      </c>
    </row>
    <row r="14" customFormat="false" ht="26.25" hidden="false" customHeight="true" outlineLevel="0" collapsed="false">
      <c r="A14" s="46" t="s">
        <v>60</v>
      </c>
      <c r="B14" s="46" t="s">
        <v>3629</v>
      </c>
      <c r="C14" s="6" t="s">
        <v>3630</v>
      </c>
      <c r="D14" s="46" t="s">
        <v>3631</v>
      </c>
      <c r="E14" s="6" t="s">
        <v>3632</v>
      </c>
      <c r="F14" s="24" t="s">
        <v>3590</v>
      </c>
      <c r="G14" s="6" t="s">
        <v>3633</v>
      </c>
    </row>
    <row r="15" customFormat="false" ht="51.75" hidden="false" customHeight="true" outlineLevel="0" collapsed="false">
      <c r="A15" s="46" t="s">
        <v>60</v>
      </c>
      <c r="B15" s="46" t="s">
        <v>3634</v>
      </c>
      <c r="C15" s="6" t="s">
        <v>3635</v>
      </c>
      <c r="D15" s="46" t="s">
        <v>3636</v>
      </c>
      <c r="E15" s="6" t="s">
        <v>3637</v>
      </c>
      <c r="F15" s="24" t="s">
        <v>3590</v>
      </c>
      <c r="G15" s="6" t="s">
        <v>3638</v>
      </c>
    </row>
    <row r="16" customFormat="false" ht="26.25" hidden="false" customHeight="true" outlineLevel="0" collapsed="false">
      <c r="A16" s="46" t="s">
        <v>75</v>
      </c>
      <c r="B16" s="46" t="s">
        <v>3639</v>
      </c>
      <c r="C16" s="6" t="s">
        <v>3640</v>
      </c>
      <c r="D16" s="46" t="s">
        <v>3641</v>
      </c>
      <c r="E16" s="6" t="s">
        <v>3642</v>
      </c>
      <c r="F16" s="24" t="s">
        <v>3590</v>
      </c>
      <c r="G16" s="6" t="s">
        <v>3643</v>
      </c>
    </row>
    <row r="17" customFormat="false" ht="39" hidden="false" customHeight="true" outlineLevel="0" collapsed="false">
      <c r="A17" s="46" t="s">
        <v>75</v>
      </c>
      <c r="B17" s="46" t="s">
        <v>3644</v>
      </c>
      <c r="C17" s="6" t="s">
        <v>3645</v>
      </c>
      <c r="D17" s="46" t="s">
        <v>3646</v>
      </c>
      <c r="E17" s="6" t="s">
        <v>3647</v>
      </c>
      <c r="F17" s="24" t="s">
        <v>3590</v>
      </c>
      <c r="G17" s="6" t="s">
        <v>3648</v>
      </c>
    </row>
    <row r="18" customFormat="false" ht="77.25" hidden="false" customHeight="true" outlineLevel="0" collapsed="false">
      <c r="A18" s="46" t="s">
        <v>3649</v>
      </c>
      <c r="B18" s="46" t="s">
        <v>3650</v>
      </c>
      <c r="C18" s="6" t="s">
        <v>3651</v>
      </c>
      <c r="D18" s="46" t="s">
        <v>3652</v>
      </c>
      <c r="E18" s="6" t="s">
        <v>3653</v>
      </c>
      <c r="F18" s="24" t="s">
        <v>3590</v>
      </c>
      <c r="G18" s="6" t="s">
        <v>3654</v>
      </c>
    </row>
    <row r="19" customFormat="false" ht="15" hidden="false" customHeight="true" outlineLevel="0" collapsed="false">
      <c r="A19" s="46" t="s">
        <v>3649</v>
      </c>
      <c r="B19" s="46" t="s">
        <v>3655</v>
      </c>
      <c r="C19" s="6" t="s">
        <v>3651</v>
      </c>
      <c r="D19" s="46" t="s">
        <v>3656</v>
      </c>
      <c r="E19" s="6" t="s">
        <v>3653</v>
      </c>
      <c r="F19" s="24" t="s">
        <v>3590</v>
      </c>
      <c r="G19" s="6" t="s">
        <v>3654</v>
      </c>
    </row>
    <row r="20" customFormat="false" ht="15" hidden="false" customHeight="true" outlineLevel="0" collapsed="false">
      <c r="A20" s="46" t="s">
        <v>3649</v>
      </c>
      <c r="B20" s="46" t="s">
        <v>3657</v>
      </c>
      <c r="C20" s="6" t="s">
        <v>3651</v>
      </c>
      <c r="D20" s="46" t="s">
        <v>3658</v>
      </c>
      <c r="E20" s="6" t="s">
        <v>3653</v>
      </c>
      <c r="F20" s="24" t="s">
        <v>3590</v>
      </c>
      <c r="G20" s="6" t="s">
        <v>3654</v>
      </c>
    </row>
    <row r="21" customFormat="false" ht="15" hidden="false" customHeight="true" outlineLevel="0" collapsed="false">
      <c r="A21" s="46" t="s">
        <v>3649</v>
      </c>
      <c r="B21" s="46" t="s">
        <v>3659</v>
      </c>
      <c r="C21" s="6" t="s">
        <v>3651</v>
      </c>
      <c r="D21" s="46" t="s">
        <v>3660</v>
      </c>
      <c r="E21" s="6" t="s">
        <v>3653</v>
      </c>
      <c r="F21" s="24" t="s">
        <v>3590</v>
      </c>
      <c r="G21" s="6" t="s">
        <v>3654</v>
      </c>
    </row>
    <row r="22" customFormat="false" ht="15" hidden="false" customHeight="true" outlineLevel="0" collapsed="false">
      <c r="A22" s="46" t="s">
        <v>3649</v>
      </c>
      <c r="B22" s="46" t="s">
        <v>3661</v>
      </c>
      <c r="C22" s="6" t="s">
        <v>3651</v>
      </c>
      <c r="D22" s="46" t="s">
        <v>3662</v>
      </c>
      <c r="E22" s="6" t="s">
        <v>3653</v>
      </c>
      <c r="F22" s="24" t="s">
        <v>3590</v>
      </c>
      <c r="G22" s="6" t="s">
        <v>3663</v>
      </c>
    </row>
    <row r="23" customFormat="false" ht="15" hidden="false" customHeight="true" outlineLevel="0" collapsed="false">
      <c r="A23" s="46" t="s">
        <v>3649</v>
      </c>
      <c r="B23" s="46" t="s">
        <v>3664</v>
      </c>
      <c r="C23" s="6" t="s">
        <v>3651</v>
      </c>
      <c r="D23" s="46" t="s">
        <v>3665</v>
      </c>
      <c r="E23" s="6" t="s">
        <v>3653</v>
      </c>
      <c r="F23" s="24" t="s">
        <v>3590</v>
      </c>
      <c r="G23" s="6" t="s">
        <v>3666</v>
      </c>
    </row>
    <row r="24" customFormat="false" ht="15" hidden="false" customHeight="true" outlineLevel="0" collapsed="false">
      <c r="A24" s="46" t="s">
        <v>3649</v>
      </c>
      <c r="B24" s="46" t="s">
        <v>3667</v>
      </c>
      <c r="C24" s="6" t="s">
        <v>3651</v>
      </c>
      <c r="D24" s="46" t="s">
        <v>3668</v>
      </c>
      <c r="E24" s="6" t="s">
        <v>3653</v>
      </c>
      <c r="F24" s="24" t="s">
        <v>3590</v>
      </c>
      <c r="G24" s="6" t="s">
        <v>3654</v>
      </c>
    </row>
    <row r="25" customFormat="false" ht="15" hidden="false" customHeight="true" outlineLevel="0" collapsed="false">
      <c r="A25" s="46" t="s">
        <v>3649</v>
      </c>
      <c r="B25" s="46" t="s">
        <v>3669</v>
      </c>
      <c r="C25" s="6" t="s">
        <v>3670</v>
      </c>
      <c r="D25" s="46" t="s">
        <v>3671</v>
      </c>
      <c r="E25" s="6" t="s">
        <v>3672</v>
      </c>
      <c r="F25" s="24" t="s">
        <v>3590</v>
      </c>
      <c r="G25" s="6" t="s">
        <v>3673</v>
      </c>
    </row>
    <row r="26" customFormat="false" ht="90" hidden="false" customHeight="true" outlineLevel="0" collapsed="false">
      <c r="A26" s="46" t="s">
        <v>3649</v>
      </c>
      <c r="B26" s="46" t="s">
        <v>3674</v>
      </c>
      <c r="C26" s="6" t="s">
        <v>3675</v>
      </c>
      <c r="D26" s="46" t="s">
        <v>3676</v>
      </c>
      <c r="E26" s="6" t="s">
        <v>3677</v>
      </c>
      <c r="F26" s="24" t="s">
        <v>3590</v>
      </c>
      <c r="G26" s="6" t="s">
        <v>3678</v>
      </c>
    </row>
    <row r="27" customFormat="false" ht="15" hidden="false" customHeight="true" outlineLevel="0" collapsed="false">
      <c r="A27" s="46" t="s">
        <v>84</v>
      </c>
      <c r="B27" s="46" t="s">
        <v>3679</v>
      </c>
      <c r="C27" s="6" t="s">
        <v>3680</v>
      </c>
      <c r="D27" s="46" t="s">
        <v>3681</v>
      </c>
      <c r="E27" s="6" t="s">
        <v>3682</v>
      </c>
      <c r="F27" s="24" t="s">
        <v>3590</v>
      </c>
      <c r="G27" s="6" t="s">
        <v>3683</v>
      </c>
    </row>
    <row r="28" customFormat="false" ht="26.25" hidden="false" customHeight="true" outlineLevel="0" collapsed="false">
      <c r="A28" s="46" t="s">
        <v>84</v>
      </c>
      <c r="B28" s="46" t="s">
        <v>3684</v>
      </c>
      <c r="C28" s="6" t="s">
        <v>3685</v>
      </c>
      <c r="D28" s="46" t="s">
        <v>3686</v>
      </c>
      <c r="E28" s="6" t="s">
        <v>3687</v>
      </c>
      <c r="F28" s="24" t="s">
        <v>3623</v>
      </c>
      <c r="G28" s="6" t="s">
        <v>3688</v>
      </c>
    </row>
    <row r="29" customFormat="false" ht="39" hidden="false" customHeight="true" outlineLevel="0" collapsed="false">
      <c r="A29" s="46" t="s">
        <v>93</v>
      </c>
      <c r="B29" s="46" t="s">
        <v>3175</v>
      </c>
      <c r="C29" s="6" t="s">
        <v>3689</v>
      </c>
      <c r="D29" s="46" t="s">
        <v>3690</v>
      </c>
      <c r="E29" s="6" t="s">
        <v>3691</v>
      </c>
      <c r="F29" s="24" t="s">
        <v>3590</v>
      </c>
      <c r="G29" s="6" t="s">
        <v>3692</v>
      </c>
    </row>
    <row r="30" customFormat="false" ht="51.75" hidden="false" customHeight="true" outlineLevel="0" collapsed="false">
      <c r="A30" s="46" t="s">
        <v>93</v>
      </c>
      <c r="B30" s="46" t="s">
        <v>3693</v>
      </c>
      <c r="C30" s="6" t="s">
        <v>3694</v>
      </c>
      <c r="D30" s="46" t="s">
        <v>3695</v>
      </c>
      <c r="E30" s="6" t="s">
        <v>3696</v>
      </c>
      <c r="F30" s="24" t="s">
        <v>3590</v>
      </c>
      <c r="G30" s="6" t="s">
        <v>3697</v>
      </c>
    </row>
    <row r="31" customFormat="false" ht="15" hidden="false" customHeight="true" outlineLevel="0" collapsed="false">
      <c r="A31" s="46" t="s">
        <v>93</v>
      </c>
      <c r="B31" s="46" t="s">
        <v>3698</v>
      </c>
      <c r="C31" s="6" t="s">
        <v>3699</v>
      </c>
      <c r="D31" s="46" t="s">
        <v>3700</v>
      </c>
      <c r="E31" s="6" t="s">
        <v>3701</v>
      </c>
      <c r="F31" s="24" t="s">
        <v>3590</v>
      </c>
      <c r="G31" s="6" t="s">
        <v>3702</v>
      </c>
    </row>
    <row r="32" customFormat="false" ht="26.25" hidden="false" customHeight="true" outlineLevel="0" collapsed="false">
      <c r="A32" s="46" t="s">
        <v>101</v>
      </c>
      <c r="B32" s="46" t="s">
        <v>3703</v>
      </c>
      <c r="C32" s="6" t="s">
        <v>3704</v>
      </c>
      <c r="D32" s="46" t="s">
        <v>3705</v>
      </c>
      <c r="E32" s="6" t="s">
        <v>3706</v>
      </c>
      <c r="F32" s="24" t="s">
        <v>3590</v>
      </c>
      <c r="G32" s="6" t="s">
        <v>3606</v>
      </c>
    </row>
    <row r="33" customFormat="false" ht="39" hidden="false" customHeight="true" outlineLevel="0" collapsed="false">
      <c r="A33" s="46" t="s">
        <v>101</v>
      </c>
      <c r="B33" s="46" t="s">
        <v>3707</v>
      </c>
      <c r="C33" s="6" t="s">
        <v>3708</v>
      </c>
      <c r="D33" s="46" t="s">
        <v>3709</v>
      </c>
      <c r="E33" s="6" t="s">
        <v>3653</v>
      </c>
      <c r="F33" s="24" t="s">
        <v>3590</v>
      </c>
      <c r="G33" s="6" t="s">
        <v>3606</v>
      </c>
    </row>
    <row r="34" customFormat="false" ht="15" hidden="false" customHeight="true" outlineLevel="0" collapsed="false">
      <c r="A34" s="46" t="s">
        <v>106</v>
      </c>
      <c r="B34" s="46" t="s">
        <v>3710</v>
      </c>
      <c r="C34" s="6" t="s">
        <v>3685</v>
      </c>
      <c r="D34" s="46" t="s">
        <v>3711</v>
      </c>
      <c r="E34" s="6" t="s">
        <v>3712</v>
      </c>
      <c r="F34" s="24" t="s">
        <v>3623</v>
      </c>
      <c r="G34" s="6" t="s">
        <v>3591</v>
      </c>
    </row>
    <row r="35" customFormat="false" ht="15" hidden="false" customHeight="true" outlineLevel="0" collapsed="false"/>
    <row r="36" customFormat="false" ht="15" hidden="false" customHeight="true" outlineLevel="0" collapsed="false">
      <c r="A36" s="54" t="s">
        <v>3713</v>
      </c>
    </row>
    <row r="37" customFormat="false" ht="15" hidden="false" customHeight="true" outlineLevel="0" collapsed="false">
      <c r="A37" s="46" t="s">
        <v>13</v>
      </c>
      <c r="B37" s="9"/>
      <c r="C37" s="9"/>
      <c r="D37" s="9"/>
      <c r="E37" s="9"/>
      <c r="F37" s="9"/>
      <c r="G37" s="9"/>
    </row>
    <row r="38" customFormat="false" ht="26.25" hidden="false" customHeight="true" outlineLevel="0" collapsed="false">
      <c r="A38" s="46" t="s">
        <v>60</v>
      </c>
      <c r="B38" s="46"/>
      <c r="C38" s="46"/>
      <c r="D38" s="46"/>
      <c r="E38" s="46"/>
      <c r="F38" s="46"/>
      <c r="G38" s="46"/>
    </row>
    <row r="39" customFormat="false" ht="26.25" hidden="false" customHeight="true" outlineLevel="0" collapsed="false">
      <c r="A39" s="46" t="s">
        <v>84</v>
      </c>
      <c r="B39" s="46"/>
      <c r="C39" s="46"/>
      <c r="D39" s="46"/>
      <c r="E39" s="46"/>
      <c r="F39" s="46"/>
      <c r="G39" s="46"/>
    </row>
    <row r="40" customFormat="false" ht="26.25" hidden="false" customHeight="true" outlineLevel="0" collapsed="false">
      <c r="A40" s="46" t="s">
        <v>84</v>
      </c>
      <c r="B40" s="46"/>
      <c r="C40" s="46"/>
      <c r="D40" s="46"/>
      <c r="E40" s="46"/>
      <c r="F40" s="46"/>
      <c r="G40" s="46"/>
    </row>
    <row r="41" customFormat="false" ht="15" hidden="false" customHeight="true" outlineLevel="0" collapsed="false">
      <c r="A41" s="18" t="s">
        <v>3714</v>
      </c>
      <c r="B41" s="18"/>
      <c r="C41" s="18"/>
      <c r="D41" s="18"/>
      <c r="E41" s="18"/>
      <c r="F41" s="18"/>
      <c r="G41" s="18"/>
    </row>
    <row r="42" customFormat="false" ht="15" hidden="false" customHeight="true" outlineLevel="0" collapsed="false">
      <c r="A42" s="18" t="s">
        <v>3715</v>
      </c>
      <c r="B42" s="18"/>
      <c r="C42" s="18"/>
      <c r="D42" s="18"/>
      <c r="E42" s="18"/>
      <c r="F42" s="18"/>
      <c r="G42" s="18"/>
    </row>
    <row r="43" customFormat="false" ht="15" hidden="false" customHeight="true" outlineLevel="0" collapsed="false">
      <c r="A43" s="18" t="s">
        <v>3716</v>
      </c>
      <c r="B43" s="18"/>
      <c r="C43" s="18"/>
      <c r="D43" s="18"/>
      <c r="E43" s="18"/>
      <c r="F43" s="18"/>
      <c r="G43" s="18"/>
    </row>
    <row r="44" customFormat="false" ht="521.25" hidden="false" customHeight="true" outlineLevel="0" collapsed="false">
      <c r="A44" s="23" t="s">
        <v>3717</v>
      </c>
    </row>
    <row r="45" customFormat="false" ht="330.75" hidden="false" customHeight="true" outlineLevel="0" collapsed="false">
      <c r="A45" s="23" t="s">
        <v>3718</v>
      </c>
    </row>
    <row r="46" customFormat="false" ht="318" hidden="false" customHeight="true" outlineLevel="0" collapsed="false">
      <c r="A46" s="23" t="s">
        <v>3719</v>
      </c>
    </row>
    <row r="47" customFormat="false" ht="305.25" hidden="false" customHeight="true" outlineLevel="0" collapsed="false"/>
  </sheetData>
  <autoFilter ref="A4:G35"/>
  <mergeCells count="6">
    <mergeCell ref="A38:G38"/>
    <mergeCell ref="A39:G39"/>
    <mergeCell ref="A40:G40"/>
    <mergeCell ref="A41:G41"/>
    <mergeCell ref="A42:G42"/>
    <mergeCell ref="A43:G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8"/>
    <col collapsed="false" customWidth="true" hidden="false" outlineLevel="0" max="3" min="3" style="1" width="100"/>
    <col collapsed="false" customWidth="true" hidden="false" outlineLevel="0" max="4" min="4" style="1" width="30"/>
    <col collapsed="false" customWidth="true" hidden="false" outlineLevel="0" max="5" min="5" style="1" width="32"/>
    <col collapsed="false" customWidth="true" hidden="false" outlineLevel="0" max="7" min="6" style="1" width="26"/>
    <col collapsed="false" customWidth="true" hidden="false" outlineLevel="0" max="8" min="8" style="1" width="24"/>
  </cols>
  <sheetData>
    <row r="1" customFormat="false" ht="17.25" hidden="false" customHeight="true" outlineLevel="0" collapsed="false">
      <c r="A1" s="45" t="s">
        <v>3720</v>
      </c>
    </row>
    <row r="2" customFormat="false" ht="15" hidden="false" customHeight="true" outlineLevel="0" collapsed="false">
      <c r="A2" s="16" t="s">
        <v>3721</v>
      </c>
    </row>
    <row r="4" customFormat="false" ht="26.25" hidden="false" customHeight="true" outlineLevel="0" collapsed="false">
      <c r="A4" s="4" t="s">
        <v>3722</v>
      </c>
      <c r="B4" s="4" t="s">
        <v>3237</v>
      </c>
      <c r="C4" s="4" t="s">
        <v>3723</v>
      </c>
      <c r="D4" s="4" t="s">
        <v>3724</v>
      </c>
      <c r="E4" s="4" t="s">
        <v>3725</v>
      </c>
      <c r="F4" s="4" t="s">
        <v>3726</v>
      </c>
      <c r="G4" s="4" t="s">
        <v>3727</v>
      </c>
      <c r="H4" s="4" t="s">
        <v>3728</v>
      </c>
    </row>
    <row r="5" customFormat="false" ht="26.25" hidden="false" customHeight="true" outlineLevel="0" collapsed="false">
      <c r="A5" s="24" t="s">
        <v>3729</v>
      </c>
      <c r="B5" s="24" t="s">
        <v>3267</v>
      </c>
      <c r="C5" s="6" t="s">
        <v>3730</v>
      </c>
      <c r="D5" s="6" t="s">
        <v>3731</v>
      </c>
      <c r="E5" s="6" t="s">
        <v>3732</v>
      </c>
      <c r="F5" s="6" t="s">
        <v>3733</v>
      </c>
      <c r="G5" s="6" t="s">
        <v>3734</v>
      </c>
      <c r="H5" s="6" t="s">
        <v>3735</v>
      </c>
    </row>
    <row r="6" customFormat="false" ht="26.25" hidden="false" customHeight="true" outlineLevel="0" collapsed="false">
      <c r="A6" s="24" t="s">
        <v>3736</v>
      </c>
      <c r="B6" s="24" t="s">
        <v>3285</v>
      </c>
      <c r="C6" s="6" t="s">
        <v>3737</v>
      </c>
      <c r="D6" s="6" t="s">
        <v>3738</v>
      </c>
      <c r="E6" s="6" t="s">
        <v>3739</v>
      </c>
      <c r="F6" s="6" t="s">
        <v>3740</v>
      </c>
      <c r="G6" s="6" t="s">
        <v>3741</v>
      </c>
      <c r="H6" s="6" t="s">
        <v>3742</v>
      </c>
    </row>
    <row r="7" customFormat="false" ht="15" hidden="false" customHeight="true" outlineLevel="0" collapsed="false">
      <c r="A7" s="24" t="s">
        <v>3743</v>
      </c>
      <c r="B7" s="24" t="s">
        <v>3744</v>
      </c>
      <c r="C7" s="6"/>
      <c r="D7" s="6"/>
      <c r="E7" s="6"/>
      <c r="F7" s="6"/>
      <c r="G7" s="6"/>
      <c r="H7" s="6"/>
    </row>
    <row r="8" customFormat="false" ht="26.25" hidden="false" customHeight="true" outlineLevel="0" collapsed="false">
      <c r="A8" s="24" t="s">
        <v>3745</v>
      </c>
      <c r="B8" s="24" t="s">
        <v>3267</v>
      </c>
      <c r="C8" s="6" t="s">
        <v>3746</v>
      </c>
      <c r="D8" s="6" t="s">
        <v>3747</v>
      </c>
      <c r="E8" s="6" t="s">
        <v>3748</v>
      </c>
      <c r="F8" s="6" t="s">
        <v>3749</v>
      </c>
      <c r="G8" s="6" t="s">
        <v>3750</v>
      </c>
      <c r="H8" s="6" t="s">
        <v>3751</v>
      </c>
    </row>
    <row r="9" customFormat="false" ht="15" hidden="false" customHeight="true" outlineLevel="0" collapsed="false">
      <c r="A9" s="24" t="s">
        <v>3752</v>
      </c>
      <c r="B9" s="24" t="s">
        <v>3285</v>
      </c>
      <c r="C9" s="6" t="s">
        <v>3753</v>
      </c>
      <c r="D9" s="6" t="s">
        <v>3754</v>
      </c>
      <c r="E9" s="6" t="s">
        <v>3755</v>
      </c>
      <c r="F9" s="6" t="s">
        <v>3756</v>
      </c>
      <c r="G9" s="6" t="s">
        <v>3757</v>
      </c>
      <c r="H9" s="6" t="s">
        <v>3758</v>
      </c>
    </row>
    <row r="10" customFormat="false" ht="15" hidden="false" customHeight="true" outlineLevel="0" collapsed="false">
      <c r="A10" s="24" t="s">
        <v>3759</v>
      </c>
      <c r="B10" s="24" t="s">
        <v>3744</v>
      </c>
      <c r="C10" s="6"/>
      <c r="D10" s="6"/>
      <c r="E10" s="6"/>
      <c r="F10" s="6"/>
      <c r="G10" s="6"/>
      <c r="H10" s="6"/>
    </row>
    <row r="11" customFormat="false" ht="15" hidden="false" customHeight="true" outlineLevel="0" collapsed="false">
      <c r="A11" s="24" t="s">
        <v>3760</v>
      </c>
      <c r="B11" s="24" t="s">
        <v>3744</v>
      </c>
      <c r="C11" s="6"/>
      <c r="D11" s="6"/>
      <c r="E11" s="6"/>
      <c r="F11" s="6"/>
      <c r="G11" s="6"/>
      <c r="H11" s="6"/>
    </row>
    <row r="13" customFormat="false" ht="15" hidden="false" customHeight="true" outlineLevel="0" collapsed="false">
      <c r="A13" s="54" t="s">
        <v>3761</v>
      </c>
    </row>
    <row r="14" customFormat="false" ht="15" hidden="false" customHeight="true" outlineLevel="0" collapsed="false">
      <c r="A14" s="4" t="s">
        <v>3722</v>
      </c>
      <c r="B14" s="4" t="s">
        <v>3762</v>
      </c>
      <c r="C14" s="4" t="s">
        <v>2995</v>
      </c>
    </row>
    <row r="15" customFormat="false" ht="15" hidden="false" customHeight="true" outlineLevel="0" collapsed="false">
      <c r="A15" s="46" t="s">
        <v>3763</v>
      </c>
      <c r="B15" s="46" t="s">
        <v>3764</v>
      </c>
      <c r="C15" s="6" t="s">
        <v>3765</v>
      </c>
    </row>
    <row r="16" customFormat="false" ht="15" hidden="false" customHeight="true" outlineLevel="0" collapsed="false">
      <c r="A16" s="46" t="s">
        <v>3766</v>
      </c>
      <c r="B16" s="46" t="s">
        <v>3267</v>
      </c>
      <c r="C16" s="6" t="s">
        <v>3767</v>
      </c>
    </row>
    <row r="17" customFormat="false" ht="15" hidden="false" customHeight="true" outlineLevel="0" collapsed="false">
      <c r="A17" s="46" t="s">
        <v>3768</v>
      </c>
      <c r="B17" s="46" t="s">
        <v>3285</v>
      </c>
      <c r="C17" s="6" t="s">
        <v>3769</v>
      </c>
    </row>
    <row r="18" customFormat="false" ht="15" hidden="false" customHeight="true" outlineLevel="0" collapsed="false">
      <c r="A18" s="46" t="s">
        <v>3770</v>
      </c>
      <c r="B18" s="46" t="s">
        <v>3744</v>
      </c>
      <c r="C18" s="6" t="s">
        <v>3771</v>
      </c>
    </row>
    <row r="19" customFormat="false" ht="15" hidden="false" customHeight="true" outlineLevel="0" collapsed="false">
      <c r="A19" s="46" t="s">
        <v>3772</v>
      </c>
      <c r="B19" s="46" t="s">
        <v>3267</v>
      </c>
      <c r="C19" s="6" t="s">
        <v>3773</v>
      </c>
    </row>
    <row r="20" customFormat="false" ht="15" hidden="false" customHeight="true" outlineLevel="0" collapsed="false">
      <c r="A20" s="46" t="s">
        <v>3774</v>
      </c>
      <c r="B20" s="46" t="s">
        <v>3285</v>
      </c>
      <c r="C20" s="6" t="s">
        <v>3775</v>
      </c>
    </row>
    <row r="21" customFormat="false" ht="15" hidden="false" customHeight="true" outlineLevel="0" collapsed="false">
      <c r="A21" s="46" t="s">
        <v>3776</v>
      </c>
      <c r="B21" s="46" t="s">
        <v>3744</v>
      </c>
      <c r="C21" s="6" t="s">
        <v>3777</v>
      </c>
    </row>
    <row r="22" customFormat="false" ht="26.25" hidden="false" customHeight="true" outlineLevel="0" collapsed="false">
      <c r="A22" s="46" t="s">
        <v>3778</v>
      </c>
      <c r="B22" s="46" t="s">
        <v>11</v>
      </c>
      <c r="C22" s="6" t="s">
        <v>3779</v>
      </c>
    </row>
    <row r="25" customFormat="false" ht="15" hidden="false" customHeight="true" outlineLevel="0" collapsed="false">
      <c r="A25" s="54" t="s">
        <v>3780</v>
      </c>
    </row>
    <row r="26" customFormat="false" ht="15" hidden="false" customHeight="true" outlineLevel="0" collapsed="false">
      <c r="A26" s="4" t="s">
        <v>3781</v>
      </c>
      <c r="B26" s="4" t="s">
        <v>3782</v>
      </c>
    </row>
    <row r="27" customFormat="false" ht="15" hidden="false" customHeight="true" outlineLevel="0" collapsed="false">
      <c r="A27" s="46" t="s">
        <v>3783</v>
      </c>
      <c r="B27" s="6" t="s">
        <v>3784</v>
      </c>
    </row>
    <row r="28" customFormat="false" ht="15" hidden="false" customHeight="true" outlineLevel="0" collapsed="false">
      <c r="A28" s="46" t="s">
        <v>3785</v>
      </c>
      <c r="B28" s="6" t="s">
        <v>3786</v>
      </c>
    </row>
    <row r="29" customFormat="false" ht="15" hidden="false" customHeight="true" outlineLevel="0" collapsed="false">
      <c r="A29" s="46" t="s">
        <v>3787</v>
      </c>
      <c r="B29" s="6" t="s">
        <v>3788</v>
      </c>
    </row>
    <row r="30" customFormat="false" ht="39" hidden="false" customHeight="true" outlineLevel="0" collapsed="false">
      <c r="A30" s="46" t="s">
        <v>3789</v>
      </c>
      <c r="B30" s="6" t="s">
        <v>3790</v>
      </c>
    </row>
    <row r="31" customFormat="false" ht="15" hidden="false" customHeight="true" outlineLevel="0" collapsed="false">
      <c r="A31" s="46" t="s">
        <v>3791</v>
      </c>
      <c r="B31" s="6" t="s">
        <v>3792</v>
      </c>
    </row>
  </sheetData>
  <autoFilter ref="A4:H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6" activeCellId="0" sqref="A16"/>
    </sheetView>
  </sheetViews>
  <sheetFormatPr defaultColWidth="8.73046875" defaultRowHeight="14.2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5" min="3" style="1" width="44"/>
    <col collapsed="false" customWidth="true" hidden="false" outlineLevel="0" max="6" min="6" style="1" width="60"/>
  </cols>
  <sheetData>
    <row r="1" customFormat="false" ht="18" hidden="false" customHeight="true" outlineLevel="0" collapsed="false">
      <c r="A1" s="15" t="s">
        <v>3793</v>
      </c>
    </row>
    <row r="2" customFormat="false" ht="14.25" hidden="false" customHeight="true" outlineLevel="0" collapsed="false">
      <c r="A2" s="34" t="s">
        <v>3794</v>
      </c>
    </row>
    <row r="4" customFormat="false" ht="14.25" hidden="false" customHeight="true" outlineLevel="0" collapsed="false">
      <c r="A4" s="61" t="s">
        <v>3795</v>
      </c>
      <c r="B4" s="61" t="s">
        <v>3796</v>
      </c>
      <c r="C4" s="61" t="s">
        <v>3797</v>
      </c>
      <c r="D4" s="61" t="s">
        <v>3798</v>
      </c>
      <c r="E4" s="61" t="s">
        <v>3799</v>
      </c>
      <c r="F4" s="61" t="s">
        <v>3800</v>
      </c>
    </row>
    <row r="5" customFormat="false" ht="72" hidden="false" customHeight="true" outlineLevel="0" collapsed="false">
      <c r="A5" s="62" t="s">
        <v>3801</v>
      </c>
      <c r="B5" s="63" t="s">
        <v>3802</v>
      </c>
      <c r="C5" s="59" t="s">
        <v>3803</v>
      </c>
      <c r="D5" s="59" t="s">
        <v>3804</v>
      </c>
      <c r="E5" s="59" t="s">
        <v>3805</v>
      </c>
      <c r="F5" s="59" t="s">
        <v>3806</v>
      </c>
    </row>
    <row r="6" customFormat="false" ht="72" hidden="false" customHeight="true" outlineLevel="0" collapsed="false">
      <c r="A6" s="64" t="s">
        <v>3807</v>
      </c>
      <c r="B6" s="65" t="s">
        <v>3808</v>
      </c>
      <c r="C6" s="66" t="s">
        <v>3809</v>
      </c>
      <c r="D6" s="66" t="s">
        <v>3810</v>
      </c>
      <c r="E6" s="66" t="s">
        <v>3811</v>
      </c>
      <c r="F6" s="66" t="s">
        <v>3812</v>
      </c>
    </row>
    <row r="7" customFormat="false" ht="72" hidden="false" customHeight="true" outlineLevel="0" collapsed="false">
      <c r="A7" s="62" t="s">
        <v>3813</v>
      </c>
      <c r="B7" s="63" t="s">
        <v>3814</v>
      </c>
      <c r="C7" s="59" t="s">
        <v>3815</v>
      </c>
      <c r="D7" s="59" t="s">
        <v>3816</v>
      </c>
      <c r="E7" s="59" t="s">
        <v>3817</v>
      </c>
      <c r="F7" s="59" t="s">
        <v>3818</v>
      </c>
    </row>
    <row r="8" customFormat="false" ht="72" hidden="false" customHeight="true" outlineLevel="0" collapsed="false">
      <c r="A8" s="64" t="s">
        <v>3819</v>
      </c>
      <c r="B8" s="65" t="s">
        <v>3820</v>
      </c>
      <c r="C8" s="66" t="s">
        <v>3821</v>
      </c>
      <c r="D8" s="66" t="s">
        <v>3822</v>
      </c>
      <c r="E8" s="66" t="s">
        <v>3823</v>
      </c>
      <c r="F8" s="66" t="s">
        <v>3824</v>
      </c>
    </row>
    <row r="9" customFormat="false" ht="72" hidden="false" customHeight="true" outlineLevel="0" collapsed="false">
      <c r="A9" s="62" t="s">
        <v>3825</v>
      </c>
      <c r="B9" s="63" t="s">
        <v>3826</v>
      </c>
      <c r="C9" s="59" t="s">
        <v>3827</v>
      </c>
      <c r="D9" s="59" t="s">
        <v>3828</v>
      </c>
      <c r="E9" s="59" t="s">
        <v>3829</v>
      </c>
      <c r="F9" s="59" t="s">
        <v>3830</v>
      </c>
    </row>
    <row r="12" customFormat="false" ht="15" hidden="false" customHeight="true" outlineLevel="0" collapsed="false">
      <c r="A12" s="21" t="s">
        <v>3831</v>
      </c>
    </row>
    <row r="13" customFormat="false" ht="57.75" hidden="false" customHeight="true" outlineLevel="0" collapsed="false">
      <c r="A13" s="58" t="s">
        <v>3832</v>
      </c>
      <c r="B13" s="13" t="s">
        <v>3833</v>
      </c>
      <c r="C13" s="13"/>
      <c r="D13" s="13"/>
      <c r="E13" s="13"/>
      <c r="F13" s="13"/>
    </row>
    <row r="14" customFormat="false" ht="57.75" hidden="false" customHeight="true" outlineLevel="0" collapsed="false">
      <c r="A14" s="58" t="s">
        <v>3834</v>
      </c>
      <c r="B14" s="13" t="s">
        <v>3835</v>
      </c>
      <c r="C14" s="13"/>
      <c r="D14" s="13"/>
      <c r="E14" s="13"/>
      <c r="F14" s="13"/>
    </row>
    <row r="15" customFormat="false" ht="57.75" hidden="false" customHeight="true" outlineLevel="0" collapsed="false">
      <c r="A15" s="58" t="s">
        <v>3836</v>
      </c>
      <c r="B15" s="13" t="s">
        <v>3837</v>
      </c>
      <c r="C15" s="13"/>
      <c r="D15" s="13"/>
      <c r="E15" s="13"/>
      <c r="F15" s="13"/>
    </row>
    <row r="16" customFormat="false" ht="57.75" hidden="false" customHeight="true" outlineLevel="0" collapsed="false">
      <c r="A16" s="58" t="s">
        <v>3838</v>
      </c>
      <c r="B16" s="13" t="s">
        <v>3839</v>
      </c>
      <c r="C16" s="13"/>
      <c r="D16" s="13"/>
      <c r="E16" s="13"/>
      <c r="F16" s="13"/>
    </row>
    <row r="17" customFormat="false" ht="57.75" hidden="false" customHeight="true" outlineLevel="0" collapsed="false">
      <c r="A17" s="58" t="s">
        <v>3840</v>
      </c>
      <c r="B17" s="13" t="s">
        <v>3841</v>
      </c>
      <c r="C17" s="13"/>
      <c r="D17" s="13"/>
      <c r="E17" s="13"/>
      <c r="F17" s="13"/>
    </row>
    <row r="18" customFormat="false" ht="57.75" hidden="false" customHeight="true" outlineLevel="0" collapsed="false">
      <c r="A18" s="58" t="s">
        <v>3842</v>
      </c>
      <c r="B18" s="13" t="s">
        <v>3843</v>
      </c>
      <c r="C18" s="13"/>
      <c r="D18" s="13"/>
      <c r="E18" s="13"/>
      <c r="F18" s="13"/>
    </row>
  </sheetData>
  <mergeCells count="6">
    <mergeCell ref="B13:F13"/>
    <mergeCell ref="B14:F14"/>
    <mergeCell ref="B15:F15"/>
    <mergeCell ref="B16:F16"/>
    <mergeCell ref="B17:F17"/>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2026-07-08T23:27:37Z</dcterms:created>
  <dc:creator>openpyxl</dc:creator>
  <dc:description/>
  <dc:language>en-US</dc:language>
  <cp:lastModifiedBy>Zaki Sztrochlic</cp:lastModifiedBy>
  <dcterms:modified xsi:type="dcterms:W3CDTF">2026-07-14T11:28:26Z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